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9"/>
  <workbookPr/>
  <mc:AlternateContent xmlns:mc="http://schemas.openxmlformats.org/markup-compatibility/2006">
    <mc:Choice Requires="x15">
      <x15ac:absPath xmlns:x15ac="http://schemas.microsoft.com/office/spreadsheetml/2010/11/ac" url="E:\jobDir\physio\gitProject\physioClient\physioTotalClient\src\AwareTec.Polysmith.UI.Standalone\PreBuild\TemPlate\TemPlate\Sleep\"/>
    </mc:Choice>
  </mc:AlternateContent>
  <xr:revisionPtr revIDLastSave="0" documentId="13_ncr:1_{07E7B562-6953-4740-8C3B-E5C0DA1B2C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4" r:id="rId1"/>
  </sheets>
  <definedNames>
    <definedName name="Age">Sheet1!$Q$5:$S$5</definedName>
    <definedName name="ApneaAndHypopneaIndex">Sheet1!$P$34:$R$37</definedName>
    <definedName name="ApneaIndex">Sheet1!$W$34:$Z$35</definedName>
    <definedName name="ApneaNREMTotalCount">Sheet1!$K$32:$L$33</definedName>
    <definedName name="ApneaREMTotalCount">Sheet1!$K$30:$L$31</definedName>
    <definedName name="ApneaTotalCount">Sheet1!$F$30:$G$33</definedName>
    <definedName name="AveBloodOxygenTST">Sheet1!$AC$66:$AJ$66</definedName>
    <definedName name="AverageSleepHeartRate">Sheet1!$AE$40:$AJ$40</definedName>
    <definedName name="AwakeningTimes">Sheet1!$AA$15:$AD$16</definedName>
    <definedName name="AwakenPeriodicalBodyMovementCount">Sheet1!$O$44:$U$44</definedName>
    <definedName name="AwakenPeriodicalBodyMovementIndex">Sheet1!$AD$44:$AJ$44</definedName>
    <definedName name="CentralApneaNREMTotalCount">Sheet1!$AA$32:$AB$33</definedName>
    <definedName name="CentralApneaREMTotalCount">Sheet1!$AA$30:$AB$31</definedName>
    <definedName name="CentralApneaTotalCount">Sheet1!$V$30:$W$33</definedName>
    <definedName name="CurrentDateTime">Sheet1!$AK$97</definedName>
    <definedName name="DoctorName">Sheet1!$AG$94:$AJ$94</definedName>
    <definedName name="Gender">Sheet1!$K$5:$M$5</definedName>
    <definedName name="Height">Sheet1!$W$5:$Y$5</definedName>
    <definedName name="HypopneaIndex">Sheet1!$W$36:$Z$37</definedName>
    <definedName name="HypopneaNREMTotalCount">Sheet1!$K$36:$L$37</definedName>
    <definedName name="HypopneaREMTotalCount">Sheet1!$K$34:$L$35</definedName>
    <definedName name="HypopneaTotalCount">Sheet1!$F$34:$G$37</definedName>
    <definedName name="LateralSleepDesatThan100">Sheet1!$E$63:$H$63</definedName>
    <definedName name="LateralSleepDesatThan40">Sheet1!$AC$63:$AF$63</definedName>
    <definedName name="LateralSleepDesatThan50">Sheet1!$Y$63:$AB$63</definedName>
    <definedName name="LateralSleepDesatThan60">Sheet1!$U$63:$X$63</definedName>
    <definedName name="LateralSleepDesatThan70">Sheet1!$Q$63:$T$63</definedName>
    <definedName name="LateralSleepDesatThan80">Sheet1!$M$63:$P$63</definedName>
    <definedName name="LateralSleepDesatThan90">Sheet1!$I$63:$L$63</definedName>
    <definedName name="LateralTimesInN1SleepTime">Sheet1!$I$52:$M$52</definedName>
    <definedName name="LateralTimesInN2SleepTime">Sheet1!$I$53:$M$53</definedName>
    <definedName name="LateralTimesInN3SleepTime">Sheet1!$I$54:$M$54</definedName>
    <definedName name="LateralTimesInREMSleepTime">Sheet1!$I$55:$M$55</definedName>
    <definedName name="LateralTimesInTotalSleepTime">Sheet1!$I$56:$M$57</definedName>
    <definedName name="LightOffTime">Sheet1!$I$11:$L$12</definedName>
    <definedName name="LightOnTime">Sheet1!$I$13:$L$14</definedName>
    <definedName name="MaxHypopneaDuration">Sheet1!$L$87:$M$87</definedName>
    <definedName name="MaxSleepHeartRate">Sheet1!$G$40:$L$40</definedName>
    <definedName name="MinBloodOxygenTST">Sheet1!$AG$62:$AJ$62</definedName>
    <definedName name="MinLimitBloodOxygenDuration">Sheet1!$AA$85:$AB$85</definedName>
    <definedName name="MinSleepHeartRate">Sheet1!$S$40:$X$40</definedName>
    <definedName name="MinSpo2ValueOnLateral">Sheet1!$AG$63:$AJ$63</definedName>
    <definedName name="MinSpo2ValueOnProstrate">Sheet1!$AG$65:$AJ$65</definedName>
    <definedName name="MinSpo2ValueOnUp">Sheet1!$AG$64:$AJ$64</definedName>
    <definedName name="MixedApneaNREMTotalCount">Sheet1!$AI$32:$AJ$33</definedName>
    <definedName name="MixedApneaREMTotalCount">Sheet1!$AI$30:$AJ$31</definedName>
    <definedName name="MixedApneaTotalCount">Sheet1!$AD$30:$AE$33</definedName>
    <definedName name="N1CountInSleepTime">Sheet1!$Z$24:$AB$24</definedName>
    <definedName name="N1OfSleepDuration">Sheet1!$S$24:$Y$24</definedName>
    <definedName name="N1OfSleepPeriodTimePencent">Sheet1!$AC$24:$AF$24</definedName>
    <definedName name="N1OfSleepTotalTimePencent">Sheet1!$AG$24:$AJ$24</definedName>
    <definedName name="N2CountInSleepTime">Sheet1!$Z$25:$AB$25</definedName>
    <definedName name="N2OfSleepDuration">Sheet1!$S$25:$Y$25</definedName>
    <definedName name="N2OfSleepPeriodTimePencent">Sheet1!$AC$25:$AF$25</definedName>
    <definedName name="N2OfSleepTotalTimePencent">Sheet1!$AG$25:$AJ$25</definedName>
    <definedName name="N3CountInSleepTime">Sheet1!$Z$26:$AB$26</definedName>
    <definedName name="N3OfSleepDuration">Sheet1!$S$26:$Y$26</definedName>
    <definedName name="N3OfSleepPeriodTimePencent">Sheet1!$AC$26:$AF$26</definedName>
    <definedName name="N3OfSleepTotalTimePencent">Sheet1!$AG$26:$AJ$26</definedName>
    <definedName name="NREMLateralSleepCA">Sheet1!$AB$54:$AD$54</definedName>
    <definedName name="NREMLateralSleepHYP">Sheet1!$AH$54:$AJ$54</definedName>
    <definedName name="NREMLateralSleepMA">Sheet1!$AE$54:$AG$54</definedName>
    <definedName name="NREMLateralSleepOA">Sheet1!$Y$54:$AA$54</definedName>
    <definedName name="NREMProstrateSleepCA">Sheet1!$AB$56:$AD$56</definedName>
    <definedName name="NREMProstrateSleepHYP">Sheet1!$AH$56:$AJ$56</definedName>
    <definedName name="NREMProstrateSleepMA">Sheet1!$AE$56:$AG$56</definedName>
    <definedName name="NREMProstrateSleepOA">Sheet1!$Y$56:$AA$56</definedName>
    <definedName name="NREMUpSleepCA">Sheet1!$AB$52:$AD$52</definedName>
    <definedName name="NREMUpSleepHYP">Sheet1!$AH$52:$AJ$52</definedName>
    <definedName name="NREMUpSleepMA">Sheet1!$AE$52:$AG$52</definedName>
    <definedName name="NREMUpSleepOA">Sheet1!$Y$52:$AA$52</definedName>
    <definedName name="ObstructiveApneaNREMTotalCount">Sheet1!$S$32:$T$33</definedName>
    <definedName name="ObstructiveApneaREMTotalCount">Sheet1!$S$30:$T$31</definedName>
    <definedName name="ObstructiveApneaTotalCount">Sheet1!$N$30:$O$33</definedName>
    <definedName name="OxygenReduceIndex">Sheet1!$I$66:$R$66</definedName>
    <definedName name="PatientName">Sheet1!$D$5:$G$5</definedName>
    <definedName name="PatientNo">Sheet1!$N$7:$R$7</definedName>
    <definedName name="PeriodicalBodyMovementCount">Sheet1!$O$43:$U$43</definedName>
    <definedName name="PeriodicalBodyMovementIndex">Sheet1!$AD$43:$AJ$43</definedName>
    <definedName name="ProstrateSleepDesatThan100">Sheet1!$E$65:$H$65</definedName>
    <definedName name="ProstrateSleepDesatThan40">Sheet1!$AC$65:$AF$65</definedName>
    <definedName name="ProstrateSleepDesatThan50">Sheet1!$Y$65:$AB$65</definedName>
    <definedName name="ProstrateSleepDesatThan60">Sheet1!$U$65:$X$65</definedName>
    <definedName name="ProstrateSleepDesatThan70">Sheet1!$Q$65:$T$65</definedName>
    <definedName name="ProstrateSleepDesatThan80">Sheet1!$M$65:$P$65</definedName>
    <definedName name="ProstrateSleepDesatThan90">Sheet1!$I$65:$L$65</definedName>
    <definedName name="ProstrateTimesInN1SleepTime">Sheet1!$N$52:$R$52</definedName>
    <definedName name="ProstrateTimesInN2SleepTime">Sheet1!$N$53:$R$53</definedName>
    <definedName name="ProstrateTimesInN3SleepTime">Sheet1!$N$54:$R$54</definedName>
    <definedName name="ProstrateTimesInREMSleepTime">Sheet1!$N$55:$R$55</definedName>
    <definedName name="ProstrateTimesInTotalSleepTime">Sheet1!$N$56:$R$57</definedName>
    <definedName name="RecordTime">Sheet1!$AK$7:$AK$7</definedName>
    <definedName name="REMCountInSleepTime">Sheet1!$Z$27:$AB$27</definedName>
    <definedName name="REMLateralSleepCA">Sheet1!$AB$55:$AD$55</definedName>
    <definedName name="REMLateralSleepHYP">Sheet1!$AH$55:$AJ$55</definedName>
    <definedName name="REMLateralSleepMA">Sheet1!$AE$55:$AG$55</definedName>
    <definedName name="REMLateralSleepOA">Sheet1!$Y$55:$AA$55</definedName>
    <definedName name="REMOfSleepDuration">Sheet1!$S$27:$Y$27</definedName>
    <definedName name="REMOfSleepPeriodTimePencent">Sheet1!$AC$27:$AF$27</definedName>
    <definedName name="REMOfSleepTotalTimePencent">Sheet1!$AG$27:$AJ$27</definedName>
    <definedName name="REMProstrateSleepCA">Sheet1!$AB$57:$AD$57</definedName>
    <definedName name="REMProstrateSleepHYP">Sheet1!$AH$57:$AJ$57</definedName>
    <definedName name="REMProstrateSleepMA">Sheet1!$AE$57:$AG$57</definedName>
    <definedName name="REMProstrateSleepOA">Sheet1!$Y$57:$AA$57</definedName>
    <definedName name="REMUpSleepCA">Sheet1!$AB$53:$AD$53</definedName>
    <definedName name="REMUpSleepHYP">Sheet1!$AH$53:$AJ$53</definedName>
    <definedName name="REMUpSleepMA">Sheet1!$AE$53:$AG$53</definedName>
    <definedName name="REMUpSleepOA">Sheet1!$Y$53:$AA$53</definedName>
    <definedName name="RERAIndex">Sheet1!$AG$36:$AJ$37</definedName>
    <definedName name="RERATotalCount">Sheet1!$AG$34:$AJ$35</definedName>
    <definedName name="SleepEfficiency">Sheet1!$AA$13:$AD$14</definedName>
    <definedName name="SleepLatencyTimesFromLightOn">Sheet1!$A$26:$C$27</definedName>
    <definedName name="SleepPeriodTime">Sheet1!$AA$9:$AD$10</definedName>
    <definedName name="StagePhotoPath">Sheet1!$A$19:$AJ$19</definedName>
    <definedName name="strMinBloodOxygenTSTBreathEventTyp">Sheet1!$O$85:$X$85</definedName>
    <definedName name="strMinHypopneaBloodOxygen">Sheet1!$P$87:$AF$87</definedName>
    <definedName name="strN1SleepLatencyFromLightOn">Sheet1!$D$26:$F$27</definedName>
    <definedName name="strN2SleepLatencyFromLightOn">Sheet1!$G$26:$I$27</definedName>
    <definedName name="strN3SleepLatencyFromLightOn">Sheet1!$J$26:$L$27</definedName>
    <definedName name="strREMSleepLatencyFromLightOn">Sheet1!$M$26:$O$27</definedName>
    <definedName name="strSleepLatencyFromSleepOnset">Sheet1!$M$17:$R$18</definedName>
    <definedName name="TimeInBed">Sheet1!$I$15:$L$16</definedName>
    <definedName name="TotalBloodOxygenLowThan40">Sheet1!$AC$62:$AF$62</definedName>
    <definedName name="TotalBloodOxygenLowThan50">Sheet1!$Y$62:$AB$62</definedName>
    <definedName name="TotalBloodOxygenLowThan60">Sheet1!$U$62:$X$62</definedName>
    <definedName name="TotalBloodOxygenLowThan70">Sheet1!$Q$62:$T$62</definedName>
    <definedName name="TotalBloodOxygenLowThan80">Sheet1!$M$62:$P$62</definedName>
    <definedName name="TotalBloodOxygenLowThan90">Sheet1!$I$62:$L$62</definedName>
    <definedName name="TotalBloodOxygenLowThan98">Sheet1!$E$62:$H$62</definedName>
    <definedName name="TotalRecordTime">Sheet1!$I$9:$L$10</definedName>
    <definedName name="TotalSleepTime">Sheet1!$AA$11:$AD$12</definedName>
    <definedName name="UpSleepDesatThan100">Sheet1!$E$64:$H$64</definedName>
    <definedName name="UpSleepDesatThan40">Sheet1!$AC$64:$AF$64</definedName>
    <definedName name="UpSleepDesatThan50">Sheet1!$Y$64:$AB$64</definedName>
    <definedName name="UpSleepDesatThan60">Sheet1!$U$64:$X$64</definedName>
    <definedName name="UpSleepDesatThan70">Sheet1!$Q$64:$T$64</definedName>
    <definedName name="UpSleepDesatThan80">Sheet1!$M$64:$P$64</definedName>
    <definedName name="UpSleepDesatThan90">Sheet1!$I$64:$L$64</definedName>
    <definedName name="UpTimesInN1SleepTime">Sheet1!$D$52:$H$52</definedName>
    <definedName name="UpTimesInN2SleepTime">Sheet1!$D$53:$H$53</definedName>
    <definedName name="UpTimesInN3SleepTime">Sheet1!$D$54:$H$54</definedName>
    <definedName name="UpTimesInREMSleepTime">Sheet1!$D$55:$H$55</definedName>
    <definedName name="UpTimesInTotalSleepTime">Sheet1!$D$56:$H$57</definedName>
    <definedName name="WakeAfterSleepTimes">Sheet1!$AA$17:$AD$18</definedName>
    <definedName name="WeekCountInSleepTime">Sheet1!$Z$23:$AB$23</definedName>
    <definedName name="Weight">Sheet1!$AF$5:$AH$5</definedName>
    <definedName name="WKOfSleepDuration">Sheet1!$S$23:$Y$23</definedName>
    <definedName name="WKOfSleepPeriodTimePencent">Sheet1!$AC$23:$AF$23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96" i="4" l="1"/>
  <c r="AF7" i="4"/>
  <c r="E89" i="4"/>
  <c r="I91" i="4" s="1"/>
  <c r="K85" i="4"/>
  <c r="S91" i="4" s="1"/>
  <c r="W83" i="4"/>
  <c r="O83" i="4"/>
  <c r="C83" i="4"/>
  <c r="Z81" i="4"/>
  <c r="J81" i="4"/>
  <c r="Z79" i="4"/>
  <c r="J79" i="4"/>
  <c r="AG77" i="4"/>
  <c r="Z77" i="4"/>
  <c r="T77" i="4"/>
  <c r="N77" i="4"/>
  <c r="S75" i="4"/>
  <c r="H75" i="4"/>
  <c r="U73" i="4"/>
  <c r="H73" i="4"/>
  <c r="M71" i="4"/>
  <c r="E71" i="4"/>
  <c r="AE40" i="4"/>
  <c r="S40" i="4"/>
  <c r="G40" i="4"/>
  <c r="AL27" i="4"/>
  <c r="AL26" i="4"/>
  <c r="D7" i="4"/>
  <c r="H89" i="4" l="1"/>
</calcChain>
</file>

<file path=xl/sharedStrings.xml><?xml version="1.0" encoding="utf-8"?>
<sst xmlns="http://schemas.openxmlformats.org/spreadsheetml/2006/main" count="182" uniqueCount="149">
  <si>
    <t>浙江大学医学院附属邵逸夫医院</t>
  </si>
  <si>
    <t>多导睡眠图报告</t>
  </si>
  <si>
    <t>姓名：</t>
  </si>
  <si>
    <t>性别：</t>
  </si>
  <si>
    <t>男</t>
  </si>
  <si>
    <t>年龄：</t>
  </si>
  <si>
    <t>身高：</t>
  </si>
  <si>
    <t>cm</t>
  </si>
  <si>
    <t>体重：</t>
  </si>
  <si>
    <t>kg</t>
  </si>
  <si>
    <r>
      <rPr>
        <sz val="11"/>
        <color theme="1"/>
        <rFont val="Times New Roman"/>
        <family val="1"/>
      </rPr>
      <t>kg/m</t>
    </r>
    <r>
      <rPr>
        <vertAlign val="superscript"/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</si>
  <si>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1"/>
      </rPr>
      <t>BMI</t>
    </r>
    <r>
      <rPr>
        <sz val="11"/>
        <color theme="1"/>
        <rFont val="宋体"/>
        <charset val="134"/>
      </rPr>
      <t>：</t>
    </r>
  </si>
  <si>
    <t>病历号：</t>
  </si>
  <si>
    <r>
      <rPr>
        <sz val="11"/>
        <color theme="1"/>
        <rFont val="Times New Roman"/>
        <family val="1"/>
      </rPr>
      <t xml:space="preserve">PSG ID </t>
    </r>
    <r>
      <rPr>
        <sz val="11"/>
        <color theme="1"/>
        <rFont val="宋体"/>
        <charset val="134"/>
      </rPr>
      <t>：</t>
    </r>
  </si>
  <si>
    <t>P200</t>
  </si>
  <si>
    <t>检查日期：</t>
  </si>
  <si>
    <r>
      <rPr>
        <sz val="11"/>
        <color theme="1"/>
        <rFont val="宋体"/>
        <charset val="134"/>
      </rPr>
      <t>记录时间（</t>
    </r>
    <r>
      <rPr>
        <sz val="11"/>
        <color theme="1"/>
        <rFont val="Times New Roman"/>
        <family val="1"/>
      </rPr>
      <t>min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 xml:space="preserve">  Recording duration</t>
    </r>
  </si>
  <si>
    <t>Recoring start        →end</t>
  </si>
  <si>
    <r>
      <rPr>
        <sz val="11"/>
        <color theme="1"/>
        <rFont val="宋体"/>
        <charset val="134"/>
      </rPr>
      <t>总睡眠间期时间（</t>
    </r>
    <r>
      <rPr>
        <sz val="11"/>
        <color theme="1"/>
        <rFont val="Times New Roman"/>
        <family val="1"/>
      </rPr>
      <t>min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>SPT</t>
    </r>
  </si>
  <si>
    <t>Sleep onset →
Last sleep page</t>
  </si>
  <si>
    <r>
      <rPr>
        <sz val="11"/>
        <color theme="1"/>
        <rFont val="宋体"/>
        <charset val="134"/>
      </rPr>
      <t>上床时间</t>
    </r>
    <r>
      <rPr>
        <sz val="11"/>
        <color theme="1"/>
        <rFont val="Times New Roman"/>
        <family val="1"/>
      </rPr>
      <t xml:space="preserve">           Bedtime</t>
    </r>
  </si>
  <si>
    <t>Lights out</t>
  </si>
  <si>
    <r>
      <rPr>
        <sz val="11"/>
        <color theme="1"/>
        <rFont val="宋体"/>
        <charset val="134"/>
      </rPr>
      <t>总睡眠时间（</t>
    </r>
    <r>
      <rPr>
        <sz val="11"/>
        <color theme="1"/>
        <rFont val="Times New Roman"/>
        <family val="1"/>
      </rPr>
      <t>min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 xml:space="preserve">
Total Sleep Time</t>
    </r>
  </si>
  <si>
    <r>
      <rPr>
        <sz val="11"/>
        <color theme="1"/>
        <rFont val="Times New Roman"/>
        <family val="1"/>
      </rPr>
      <t xml:space="preserve">REM+NREM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>during TIB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</si>
  <si>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起床时间</t>
    </r>
    <r>
      <rPr>
        <sz val="11"/>
        <color theme="1"/>
        <rFont val="Times New Roman"/>
        <family val="1"/>
      </rPr>
      <t xml:space="preserve">              Rise Time</t>
    </r>
  </si>
  <si>
    <t>Lights on</t>
  </si>
  <si>
    <r>
      <rPr>
        <sz val="11"/>
        <color theme="1"/>
        <rFont val="宋体"/>
        <charset val="134"/>
      </rPr>
      <t>睡眠效率（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 xml:space="preserve">
Sleep Efficiency </t>
    </r>
  </si>
  <si>
    <t>TST/TIB*100%</t>
  </si>
  <si>
    <r>
      <rPr>
        <sz val="11"/>
        <color theme="1"/>
        <rFont val="宋体"/>
        <charset val="134"/>
      </rPr>
      <t>卧床时间（</t>
    </r>
    <r>
      <rPr>
        <sz val="11"/>
        <color theme="1"/>
        <rFont val="Times New Roman"/>
        <family val="1"/>
      </rPr>
      <t>min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 xml:space="preserve">       Time in Bed</t>
    </r>
  </si>
  <si>
    <t>Lights out     →Lights on</t>
  </si>
  <si>
    <r>
      <rPr>
        <sz val="11"/>
        <color theme="1"/>
        <rFont val="宋体"/>
        <charset val="134"/>
      </rPr>
      <t>总清醒时间（</t>
    </r>
    <r>
      <rPr>
        <sz val="11"/>
        <color theme="1"/>
        <rFont val="Times New Roman"/>
        <family val="1"/>
      </rPr>
      <t>min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 xml:space="preserve">
Total Wake Time</t>
    </r>
  </si>
  <si>
    <t>Wake during TIB</t>
  </si>
  <si>
    <r>
      <rPr>
        <sz val="11"/>
        <color theme="1"/>
        <rFont val="宋体"/>
        <charset val="134"/>
      </rPr>
      <t>持续睡眠潜伏期（</t>
    </r>
    <r>
      <rPr>
        <sz val="11"/>
        <color theme="1"/>
        <rFont val="Times New Roman"/>
        <family val="1"/>
      </rPr>
      <t>min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 xml:space="preserve">LPS
Sleep onset  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family val="1"/>
      </rPr>
      <t xml:space="preserve"> 1st &gt;10 min sleep</t>
    </r>
  </si>
  <si>
    <r>
      <rPr>
        <sz val="11"/>
        <color theme="1"/>
        <rFont val="宋体"/>
        <charset val="134"/>
      </rPr>
      <t>入睡后清醒时间（</t>
    </r>
    <r>
      <rPr>
        <sz val="11"/>
        <color theme="1"/>
        <rFont val="Times New Roman"/>
        <family val="1"/>
      </rPr>
      <t>min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>WASO</t>
    </r>
  </si>
  <si>
    <t>TRT-SL-TST</t>
  </si>
  <si>
    <t>睡眠潜伏期</t>
  </si>
  <si>
    <t>睡眠分期</t>
  </si>
  <si>
    <t>睡眠 潜伏期(min)</t>
  </si>
  <si>
    <t>N1睡眠 潜伏期(min)</t>
  </si>
  <si>
    <t>N2睡眠 潜伏期(min)</t>
  </si>
  <si>
    <t>N3睡眠 潜伏期(min)</t>
  </si>
  <si>
    <t>REM   睡眠 潜伏期(min)</t>
  </si>
  <si>
    <t>持续时间（min）</t>
  </si>
  <si>
    <t>次数</t>
  </si>
  <si>
    <t>SPT(%)</t>
  </si>
  <si>
    <t>TST(%)</t>
  </si>
  <si>
    <t>Wake</t>
  </si>
  <si>
    <t>-</t>
  </si>
  <si>
    <t>N1</t>
  </si>
  <si>
    <t>N2</t>
  </si>
  <si>
    <t>N3</t>
  </si>
  <si>
    <t>SPT</t>
  </si>
  <si>
    <t>REM</t>
  </si>
  <si>
    <t>TST</t>
  </si>
  <si>
    <t>睡眠呼吸事件（次数）</t>
  </si>
  <si>
    <t>睡眠呼
吸暂停</t>
  </si>
  <si>
    <t>总次数</t>
  </si>
  <si>
    <t>阻塞性</t>
  </si>
  <si>
    <t>中枢性</t>
  </si>
  <si>
    <t>混合性</t>
  </si>
  <si>
    <t>NREM</t>
  </si>
  <si>
    <t>低通气
事  件</t>
  </si>
  <si>
    <t xml:space="preserve"> REM</t>
  </si>
  <si>
    <t>AHI</t>
  </si>
  <si>
    <t>Apneas</t>
  </si>
  <si>
    <t>呼吸努力相关觉醒</t>
  </si>
  <si>
    <t>RERAs</t>
  </si>
  <si>
    <t>Hypopnea</t>
  </si>
  <si>
    <t>指数</t>
  </si>
  <si>
    <t>心率事件</t>
  </si>
  <si>
    <r>
      <rPr>
        <sz val="11"/>
        <color theme="1"/>
        <rFont val="宋体"/>
        <charset val="134"/>
      </rPr>
      <t>最高心率</t>
    </r>
    <r>
      <rPr>
        <sz val="11"/>
        <color theme="1"/>
        <rFont val="Times New Roman"/>
        <family val="1"/>
      </rPr>
      <t>(bmp)</t>
    </r>
  </si>
  <si>
    <r>
      <rPr>
        <sz val="11"/>
        <color theme="1"/>
        <rFont val="宋体"/>
        <charset val="134"/>
      </rPr>
      <t>最低心率</t>
    </r>
    <r>
      <rPr>
        <sz val="11"/>
        <color theme="1"/>
        <rFont val="Times New Roman"/>
        <family val="1"/>
      </rPr>
      <t>(bmp)</t>
    </r>
  </si>
  <si>
    <r>
      <rPr>
        <sz val="11"/>
        <color theme="1"/>
        <rFont val="宋体"/>
        <charset val="134"/>
      </rPr>
      <t>平均心率</t>
    </r>
    <r>
      <rPr>
        <sz val="11"/>
        <color theme="1"/>
        <rFont val="Times New Roman"/>
        <family val="1"/>
      </rPr>
      <t>(bmp)</t>
    </r>
  </si>
  <si>
    <t>睡眠运动事件</t>
  </si>
  <si>
    <t>睡眠期周期性肢体运动次数（PLMS）</t>
  </si>
  <si>
    <t>PLMS指数</t>
  </si>
  <si>
    <t>睡眠期伴觉醒的周期性肢体运动次数</t>
  </si>
  <si>
    <t>伴觉醒的PLMS指数</t>
  </si>
  <si>
    <t>睡眠各期体位时间</t>
  </si>
  <si>
    <t>体位相关呼吸事件</t>
  </si>
  <si>
    <t>时间</t>
  </si>
  <si>
    <r>
      <rPr>
        <sz val="11"/>
        <color theme="1"/>
        <rFont val="宋体"/>
        <charset val="134"/>
      </rPr>
      <t>仰卧位</t>
    </r>
    <r>
      <rPr>
        <sz val="11"/>
        <color theme="1"/>
        <rFont val="Times New Roman"/>
        <family val="1"/>
      </rPr>
      <t>(min)</t>
    </r>
  </si>
  <si>
    <r>
      <rPr>
        <sz val="11"/>
        <color theme="1"/>
        <rFont val="宋体"/>
        <charset val="134"/>
      </rPr>
      <t>侧卧位</t>
    </r>
    <r>
      <rPr>
        <sz val="11"/>
        <color theme="1"/>
        <rFont val="Times New Roman"/>
        <family val="1"/>
      </rPr>
      <t>(min)</t>
    </r>
  </si>
  <si>
    <r>
      <rPr>
        <sz val="11"/>
        <color theme="1"/>
        <rFont val="宋体"/>
        <charset val="134"/>
      </rPr>
      <t>俯卧位</t>
    </r>
    <r>
      <rPr>
        <sz val="11"/>
        <color theme="1"/>
        <rFont val="Times New Roman"/>
        <family val="1"/>
      </rPr>
      <t>(min)</t>
    </r>
  </si>
  <si>
    <t>睡眠呼吸暂停</t>
  </si>
  <si>
    <t>低通气</t>
  </si>
  <si>
    <t>仰卧位</t>
  </si>
  <si>
    <t>侧卧位</t>
  </si>
  <si>
    <t>俯卧位</t>
  </si>
  <si>
    <r>
      <rPr>
        <sz val="11"/>
        <color theme="1"/>
        <rFont val="宋体"/>
        <charset val="134"/>
      </rPr>
      <t>血氧事件（次数）（血氧波动阈值设定</t>
    </r>
    <r>
      <rPr>
        <sz val="11"/>
        <color theme="1"/>
        <rFont val="Times New Roman"/>
        <family val="1"/>
      </rPr>
      <t>4%</t>
    </r>
    <r>
      <rPr>
        <sz val="11"/>
        <color theme="1"/>
        <rFont val="宋体"/>
        <charset val="134"/>
      </rPr>
      <t>）</t>
    </r>
  </si>
  <si>
    <t>最低血氧(%)</t>
  </si>
  <si>
    <t>&lt;100％</t>
  </si>
  <si>
    <t>&lt;90％</t>
  </si>
  <si>
    <t>&lt;80％</t>
  </si>
  <si>
    <t>&lt;70％</t>
  </si>
  <si>
    <t>&lt;60％</t>
  </si>
  <si>
    <t>&lt;50％</t>
  </si>
  <si>
    <t>&lt;40％</t>
  </si>
  <si>
    <t>Total</t>
  </si>
  <si>
    <t>ODI</t>
  </si>
  <si>
    <t>平均血氧</t>
  </si>
  <si>
    <r>
      <rPr>
        <b/>
        <sz val="14"/>
        <color theme="1"/>
        <rFont val="宋体"/>
        <charset val="134"/>
      </rPr>
      <t>检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宋体"/>
        <charset val="134"/>
      </rPr>
      <t>查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宋体"/>
        <charset val="134"/>
      </rPr>
      <t>所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宋体"/>
        <charset val="134"/>
      </rPr>
      <t>见</t>
    </r>
  </si>
  <si>
    <t>患者于</t>
  </si>
  <si>
    <t>关灯，于</t>
  </si>
  <si>
    <t>开灯起床。</t>
  </si>
  <si>
    <t>睡眠潜伏期为</t>
  </si>
  <si>
    <t>分钟，REM睡眠潜伏期为</t>
  </si>
  <si>
    <t>分钟。</t>
  </si>
  <si>
    <r>
      <rPr>
        <sz val="10.5"/>
        <color theme="1"/>
        <rFont val="宋体"/>
        <charset val="134"/>
      </rPr>
      <t>最低血氧饱和度降至«MinBloodOxygenTST» %，持续«MinLimitBloodOxygenDuration»秒，«strMinBloodOxygenTSTBreathEventTyp»。睡眠低通气事件最长持续«MaxHypopneaDuration»秒«strMinHypopneaBloodOxygen»</t>
    </r>
    <r>
      <rPr>
        <sz val="12"/>
        <color theme="1"/>
        <rFont val="宋体"/>
        <charset val="134"/>
      </rPr>
      <t>。</t>
    </r>
    <r>
      <rPr>
        <sz val="10.5"/>
        <color theme="1"/>
        <rFont val="宋体"/>
        <charset val="134"/>
      </rPr>
      <t>最长阻塞型睡眠呼吸暂停持续«MaxObstructiveApneaDuration»秒«strMinApneaBloodOxygen»。</t>
    </r>
  </si>
  <si>
    <t>总睡眠时间为</t>
  </si>
  <si>
    <t>分钟，睡眠效率为</t>
  </si>
  <si>
    <t>%。</t>
  </si>
  <si>
    <t>各个睡眠阶段的比例为</t>
  </si>
  <si>
    <t>N1:</t>
  </si>
  <si>
    <t>%，</t>
  </si>
  <si>
    <t>N2:</t>
  </si>
  <si>
    <t>N3:</t>
  </si>
  <si>
    <t>REM:</t>
  </si>
  <si>
    <t>整个睡眠过程中有</t>
  </si>
  <si>
    <t>次觉醒，总睡眠间期觉醒时间为</t>
  </si>
  <si>
    <t>整个睡眠过程中共出现13次周期性肢体运动，每次持续1-2秒不等，间隔18-24秒左右。</t>
  </si>
  <si>
    <t>总睡眠呼吸事件为</t>
  </si>
  <si>
    <t>次。</t>
  </si>
  <si>
    <t>其中阻塞性睡眠呼吸暂停为</t>
  </si>
  <si>
    <t>次，中枢性呼吸暂停</t>
  </si>
  <si>
    <t>视频同步监测可见患者于入睡前期下肢运动明显增多，在睡眠过程中出现下肢周期性抽</t>
  </si>
  <si>
    <t>为</t>
  </si>
  <si>
    <t>次，混合性呼吸暂停为</t>
  </si>
  <si>
    <t>次，低通气为</t>
  </si>
  <si>
    <t>动，主要发生于N2睡眠期。</t>
  </si>
  <si>
    <t>最低血氧饱和度降至</t>
  </si>
  <si>
    <t>%，为阻塞性低通气，</t>
  </si>
  <si>
    <t>为阻塞性睡眠呼吸暂停，</t>
  </si>
  <si>
    <t>持续</t>
  </si>
  <si>
    <t>秒。</t>
  </si>
  <si>
    <t>睡眠低通气事件最长持续</t>
  </si>
  <si>
    <t>秒</t>
  </si>
  <si>
    <t>AHI =</t>
  </si>
  <si>
    <t>整个睡眠过程中可见REM睡眠多发短暂肌电活动阳性，共4帧，REM睡眠持续肌电活动</t>
  </si>
  <si>
    <t>初步印象：</t>
  </si>
  <si>
    <t>符合</t>
  </si>
  <si>
    <t>合并</t>
  </si>
  <si>
    <t>低氧血症。</t>
  </si>
  <si>
    <t>阳性，共2帧。</t>
  </si>
  <si>
    <t>吴碧雯</t>
  </si>
  <si>
    <t>视频同步监测可见患者于睡眠过程中出现四肢不自主运动，并伴有颜面部不自主活</t>
  </si>
  <si>
    <t>动，主要见于REM睡眠期。</t>
  </si>
  <si>
    <r>
      <rPr>
        <sz val="11"/>
        <color theme="1"/>
        <rFont val="宋体"/>
        <charset val="134"/>
      </rPr>
      <t>整个睡眠过程中共出现</t>
    </r>
    <r>
      <rPr>
        <sz val="11"/>
        <color theme="1"/>
        <rFont val="Times New Roman"/>
        <family val="1"/>
      </rPr>
      <t>39</t>
    </r>
    <r>
      <rPr>
        <sz val="11"/>
        <color theme="1"/>
        <rFont val="宋体"/>
        <charset val="134"/>
      </rPr>
      <t>次节律性咀嚼肌活动，每次持续</t>
    </r>
    <r>
      <rPr>
        <sz val="11"/>
        <color theme="1"/>
        <rFont val="Times New Roman"/>
        <family val="1"/>
      </rPr>
      <t>3-27</t>
    </r>
    <r>
      <rPr>
        <sz val="11"/>
        <color theme="1"/>
        <rFont val="宋体"/>
        <charset val="134"/>
      </rPr>
      <t>秒不等，主要发生于</t>
    </r>
  </si>
  <si>
    <r>
      <rPr>
        <sz val="11"/>
        <color theme="1"/>
        <rFont val="Times New Roman"/>
        <family val="1"/>
      </rPr>
      <t>N2</t>
    </r>
    <r>
      <rPr>
        <sz val="11"/>
        <color theme="1"/>
        <rFont val="宋体"/>
        <charset val="134"/>
      </rPr>
      <t>期，同步视频监测可见患者颜面部有磨牙动作。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</si>
</sst>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7" formatCode="0.0_ "/>
    <numFmt numFmtId="179" formatCode="0.00_ "/>
    <numFmt numFmtId="180" formatCode="yyyy/m/d\ h:mm:ss"/>
    <numFmt numFmtId="181" formatCode="yyyy/mm/dd;@"/>
    <numFmt numFmtId="182" formatCode="0_ "/>
    <numFmt numFmtId="183" formatCode="[$-409]h:mm\ AM/PM;@"/>
  </numFmts>
  <fonts count="15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宋体"/>
      <charset val="134"/>
    </font>
    <font>
      <b/>
      <sz val="14"/>
      <color theme="1"/>
      <name val="Times New Roman"/>
      <family val="1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0.5"/>
      <color theme="1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宋体"/>
      <charset val="134"/>
      <scheme val="minor"/>
    </font>
    <font>
      <vertAlign val="superscript"/>
      <sz val="11"/>
      <color theme="1"/>
      <name val="Times New Roman"/>
      <family val="1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177" fontId="1" fillId="0" borderId="0" xfId="1" applyNumberFormat="1" applyFo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Border="1">
      <alignment vertical="center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justify"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/>
    </xf>
    <xf numFmtId="9" fontId="9" fillId="0" borderId="0" xfId="1" applyFont="1" applyAlignme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left" vertical="center"/>
    </xf>
    <xf numFmtId="181" fontId="1" fillId="0" borderId="0" xfId="0" applyNumberFormat="1" applyFont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7" fontId="1" fillId="0" borderId="12" xfId="1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82" fontId="5" fillId="0" borderId="12" xfId="1" applyNumberFormat="1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9" fontId="2" fillId="0" borderId="0" xfId="1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82" fontId="8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79" fontId="2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181" fontId="2" fillId="0" borderId="0" xfId="0" applyNumberFormat="1" applyFont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79" fontId="1" fillId="0" borderId="12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9" fontId="1" fillId="0" borderId="3" xfId="0" applyNumberFormat="1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center" vertical="center" wrapText="1"/>
    </xf>
    <xf numFmtId="179" fontId="1" fillId="0" borderId="5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79" fontId="1" fillId="0" borderId="6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180" fontId="1" fillId="0" borderId="3" xfId="0" applyNumberFormat="1" applyFont="1" applyBorder="1" applyAlignment="1">
      <alignment horizontal="center" vertical="center" wrapText="1"/>
    </xf>
    <xf numFmtId="180" fontId="1" fillId="0" borderId="4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0" fontId="1" fillId="0" borderId="6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179" fontId="1" fillId="0" borderId="2" xfId="1" applyNumberFormat="1" applyFont="1" applyBorder="1" applyAlignment="1">
      <alignment horizontal="center" vertical="center" wrapText="1"/>
    </xf>
    <xf numFmtId="179" fontId="1" fillId="0" borderId="3" xfId="1" applyNumberFormat="1" applyFont="1" applyBorder="1" applyAlignment="1">
      <alignment horizontal="center" vertical="center" wrapText="1"/>
    </xf>
    <xf numFmtId="179" fontId="1" fillId="0" borderId="4" xfId="1" applyNumberFormat="1" applyFont="1" applyBorder="1" applyAlignment="1">
      <alignment horizontal="center" vertical="center" wrapText="1"/>
    </xf>
    <xf numFmtId="179" fontId="1" fillId="0" borderId="5" xfId="1" applyNumberFormat="1" applyFont="1" applyBorder="1" applyAlignment="1">
      <alignment horizontal="center" vertical="center" wrapText="1"/>
    </xf>
    <xf numFmtId="179" fontId="1" fillId="0" borderId="1" xfId="1" applyNumberFormat="1" applyFont="1" applyBorder="1" applyAlignment="1">
      <alignment horizontal="center" vertical="center" wrapText="1"/>
    </xf>
    <xf numFmtId="179" fontId="1" fillId="0" borderId="6" xfId="1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14"/>
  <sheetViews>
    <sheetView tabSelected="1" topLeftCell="A79" workbookViewId="0">
      <selection activeCell="AF96" sqref="AF96:AJ96"/>
    </sheetView>
  </sheetViews>
  <sheetFormatPr defaultColWidth="9" defaultRowHeight="13.8" x14ac:dyDescent="0.25"/>
  <cols>
    <col min="1" max="8" width="2.33203125" style="1" customWidth="1"/>
    <col min="9" max="9" width="4.44140625" style="1" customWidth="1"/>
    <col min="10" max="10" width="4.21875" style="1" customWidth="1"/>
    <col min="11" max="11" width="5.109375" style="1" customWidth="1"/>
    <col min="12" max="12" width="4.33203125" style="1" customWidth="1"/>
    <col min="13" max="36" width="2.33203125" style="1" customWidth="1"/>
    <col min="37" max="16384" width="9" style="1"/>
  </cols>
  <sheetData>
    <row r="1" spans="1:36" ht="17.399999999999999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6" ht="13.95" customHeight="1" x14ac:dyDescent="0.25"/>
    <row r="3" spans="1:36" ht="17.399999999999999" x14ac:dyDescent="0.25">
      <c r="A3" s="24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ht="13.95" customHeight="1" x14ac:dyDescent="0.25"/>
    <row r="5" spans="1:36" s="2" customFormat="1" ht="13.95" customHeight="1" x14ac:dyDescent="0.25">
      <c r="A5" s="26" t="s">
        <v>2</v>
      </c>
      <c r="B5" s="26"/>
      <c r="C5" s="26"/>
      <c r="D5" s="26"/>
      <c r="E5" s="27"/>
      <c r="F5" s="27"/>
      <c r="G5" s="27"/>
      <c r="H5" s="26" t="s">
        <v>3</v>
      </c>
      <c r="I5" s="27"/>
      <c r="J5" s="27"/>
      <c r="K5" s="26" t="s">
        <v>4</v>
      </c>
      <c r="L5" s="26"/>
      <c r="M5" s="26"/>
      <c r="N5" s="28" t="s">
        <v>5</v>
      </c>
      <c r="O5" s="29"/>
      <c r="P5" s="29"/>
      <c r="Q5" s="29"/>
      <c r="R5" s="29"/>
      <c r="S5" s="29"/>
      <c r="T5" s="30" t="s">
        <v>6</v>
      </c>
      <c r="U5" s="31"/>
      <c r="V5" s="31"/>
      <c r="W5" s="29"/>
      <c r="X5" s="29"/>
      <c r="Y5" s="29"/>
      <c r="Z5" s="27" t="s">
        <v>7</v>
      </c>
      <c r="AA5" s="27"/>
      <c r="AC5" s="30" t="s">
        <v>8</v>
      </c>
      <c r="AD5" s="30"/>
      <c r="AE5" s="30"/>
      <c r="AF5" s="29"/>
      <c r="AG5" s="29"/>
      <c r="AH5" s="29"/>
      <c r="AI5" s="27" t="s">
        <v>9</v>
      </c>
      <c r="AJ5" s="27"/>
    </row>
    <row r="6" spans="1:36" s="2" customFormat="1" ht="13.95" customHeight="1" x14ac:dyDescent="0.25">
      <c r="G6" s="29" t="s">
        <v>10</v>
      </c>
      <c r="H6" s="29"/>
      <c r="I6" s="29"/>
    </row>
    <row r="7" spans="1:36" s="2" customFormat="1" ht="13.95" customHeight="1" x14ac:dyDescent="0.25">
      <c r="A7" s="27" t="s">
        <v>11</v>
      </c>
      <c r="B7" s="27"/>
      <c r="C7" s="27"/>
      <c r="D7" s="32" t="e">
        <f>AF5/((W5/100)*(W5/100))</f>
        <v>#DIV/0!</v>
      </c>
      <c r="E7" s="32"/>
      <c r="F7" s="32"/>
      <c r="G7" s="29"/>
      <c r="H7" s="29"/>
      <c r="I7" s="29"/>
      <c r="K7" s="26" t="s">
        <v>12</v>
      </c>
      <c r="L7" s="26"/>
      <c r="M7" s="26"/>
      <c r="N7" s="27"/>
      <c r="O7" s="27"/>
      <c r="P7" s="27"/>
      <c r="Q7" s="27"/>
      <c r="R7" s="27"/>
      <c r="S7" s="29" t="s">
        <v>13</v>
      </c>
      <c r="T7" s="29"/>
      <c r="U7" s="29"/>
      <c r="V7" s="29"/>
      <c r="W7" s="27" t="s">
        <v>14</v>
      </c>
      <c r="X7" s="27"/>
      <c r="Y7" s="27"/>
      <c r="Z7" s="27"/>
      <c r="AA7" s="27"/>
      <c r="AB7" s="28" t="s">
        <v>15</v>
      </c>
      <c r="AC7" s="29"/>
      <c r="AD7" s="29"/>
      <c r="AE7" s="29"/>
      <c r="AF7" s="33" t="e">
        <f>LEFT(AK7, FIND(" ",AK7) - 1)</f>
        <v>#VALUE!</v>
      </c>
      <c r="AG7" s="33"/>
      <c r="AH7" s="33"/>
      <c r="AI7" s="33"/>
      <c r="AJ7" s="33"/>
    </row>
    <row r="8" spans="1:36" ht="13.95" customHeight="1" x14ac:dyDescent="0.25">
      <c r="G8" s="51"/>
      <c r="H8" s="51"/>
      <c r="I8" s="51"/>
    </row>
    <row r="9" spans="1:36" ht="13.95" customHeight="1" x14ac:dyDescent="0.25">
      <c r="A9" s="122" t="s">
        <v>16</v>
      </c>
      <c r="B9" s="123"/>
      <c r="C9" s="123"/>
      <c r="D9" s="123"/>
      <c r="E9" s="123"/>
      <c r="F9" s="123"/>
      <c r="G9" s="123"/>
      <c r="H9" s="124"/>
      <c r="I9" s="128"/>
      <c r="J9" s="129"/>
      <c r="K9" s="129"/>
      <c r="L9" s="130"/>
      <c r="M9" s="122" t="s">
        <v>17</v>
      </c>
      <c r="N9" s="123"/>
      <c r="O9" s="123"/>
      <c r="P9" s="123"/>
      <c r="Q9" s="123"/>
      <c r="R9" s="147"/>
      <c r="S9" s="154" t="s">
        <v>18</v>
      </c>
      <c r="T9" s="123"/>
      <c r="U9" s="123"/>
      <c r="V9" s="123"/>
      <c r="W9" s="123"/>
      <c r="X9" s="123"/>
      <c r="Y9" s="123"/>
      <c r="Z9" s="124"/>
      <c r="AA9" s="140"/>
      <c r="AB9" s="114"/>
      <c r="AC9" s="114"/>
      <c r="AD9" s="115"/>
      <c r="AE9" s="122" t="s">
        <v>19</v>
      </c>
      <c r="AF9" s="123"/>
      <c r="AG9" s="123"/>
      <c r="AH9" s="123"/>
      <c r="AI9" s="123"/>
      <c r="AJ9" s="124"/>
    </row>
    <row r="10" spans="1:36" ht="13.95" customHeight="1" x14ac:dyDescent="0.25">
      <c r="A10" s="125"/>
      <c r="B10" s="126"/>
      <c r="C10" s="126"/>
      <c r="D10" s="126"/>
      <c r="E10" s="126"/>
      <c r="F10" s="126"/>
      <c r="G10" s="126"/>
      <c r="H10" s="127"/>
      <c r="I10" s="131"/>
      <c r="J10" s="132"/>
      <c r="K10" s="132"/>
      <c r="L10" s="133"/>
      <c r="M10" s="125"/>
      <c r="N10" s="126"/>
      <c r="O10" s="126"/>
      <c r="P10" s="126"/>
      <c r="Q10" s="126"/>
      <c r="R10" s="148"/>
      <c r="S10" s="155"/>
      <c r="T10" s="126"/>
      <c r="U10" s="126"/>
      <c r="V10" s="126"/>
      <c r="W10" s="126"/>
      <c r="X10" s="126"/>
      <c r="Y10" s="126"/>
      <c r="Z10" s="127"/>
      <c r="AA10" s="119"/>
      <c r="AB10" s="120"/>
      <c r="AC10" s="120"/>
      <c r="AD10" s="121"/>
      <c r="AE10" s="125"/>
      <c r="AF10" s="126"/>
      <c r="AG10" s="126"/>
      <c r="AH10" s="126"/>
      <c r="AI10" s="126"/>
      <c r="AJ10" s="127"/>
    </row>
    <row r="11" spans="1:36" ht="13.95" customHeight="1" x14ac:dyDescent="0.25">
      <c r="A11" s="122" t="s">
        <v>20</v>
      </c>
      <c r="B11" s="123"/>
      <c r="C11" s="123"/>
      <c r="D11" s="123"/>
      <c r="E11" s="123"/>
      <c r="F11" s="123"/>
      <c r="G11" s="123"/>
      <c r="H11" s="124"/>
      <c r="I11" s="134"/>
      <c r="J11" s="135"/>
      <c r="K11" s="135"/>
      <c r="L11" s="136"/>
      <c r="M11" s="141" t="s">
        <v>21</v>
      </c>
      <c r="N11" s="142"/>
      <c r="O11" s="142"/>
      <c r="P11" s="142"/>
      <c r="Q11" s="142"/>
      <c r="R11" s="143"/>
      <c r="S11" s="154" t="s">
        <v>22</v>
      </c>
      <c r="T11" s="123"/>
      <c r="U11" s="123"/>
      <c r="V11" s="123"/>
      <c r="W11" s="123"/>
      <c r="X11" s="123"/>
      <c r="Y11" s="123"/>
      <c r="Z11" s="124"/>
      <c r="AA11" s="140"/>
      <c r="AB11" s="114"/>
      <c r="AC11" s="114"/>
      <c r="AD11" s="115"/>
      <c r="AE11" s="122" t="s">
        <v>23</v>
      </c>
      <c r="AF11" s="123"/>
      <c r="AG11" s="123"/>
      <c r="AH11" s="123"/>
      <c r="AI11" s="123"/>
      <c r="AJ11" s="124"/>
    </row>
    <row r="12" spans="1:36" ht="13.95" customHeight="1" x14ac:dyDescent="0.25">
      <c r="A12" s="125"/>
      <c r="B12" s="126"/>
      <c r="C12" s="126"/>
      <c r="D12" s="126"/>
      <c r="E12" s="126"/>
      <c r="F12" s="126"/>
      <c r="G12" s="126"/>
      <c r="H12" s="127"/>
      <c r="I12" s="137"/>
      <c r="J12" s="138"/>
      <c r="K12" s="138"/>
      <c r="L12" s="139"/>
      <c r="M12" s="144"/>
      <c r="N12" s="145"/>
      <c r="O12" s="145"/>
      <c r="P12" s="145"/>
      <c r="Q12" s="145"/>
      <c r="R12" s="146"/>
      <c r="S12" s="155"/>
      <c r="T12" s="126"/>
      <c r="U12" s="126"/>
      <c r="V12" s="126"/>
      <c r="W12" s="126"/>
      <c r="X12" s="126"/>
      <c r="Y12" s="126"/>
      <c r="Z12" s="127"/>
      <c r="AA12" s="119"/>
      <c r="AB12" s="120"/>
      <c r="AC12" s="120"/>
      <c r="AD12" s="121"/>
      <c r="AE12" s="125"/>
      <c r="AF12" s="126"/>
      <c r="AG12" s="126"/>
      <c r="AH12" s="126"/>
      <c r="AI12" s="126"/>
      <c r="AJ12" s="127"/>
    </row>
    <row r="13" spans="1:36" ht="13.95" customHeight="1" x14ac:dyDescent="0.25">
      <c r="A13" s="122" t="s">
        <v>24</v>
      </c>
      <c r="B13" s="123"/>
      <c r="C13" s="123"/>
      <c r="D13" s="123"/>
      <c r="E13" s="123"/>
      <c r="F13" s="123"/>
      <c r="G13" s="123"/>
      <c r="H13" s="124"/>
      <c r="I13" s="134"/>
      <c r="J13" s="135"/>
      <c r="K13" s="135"/>
      <c r="L13" s="136"/>
      <c r="M13" s="141" t="s">
        <v>25</v>
      </c>
      <c r="N13" s="142"/>
      <c r="O13" s="142"/>
      <c r="P13" s="142"/>
      <c r="Q13" s="142"/>
      <c r="R13" s="143"/>
      <c r="S13" s="154" t="s">
        <v>26</v>
      </c>
      <c r="T13" s="123"/>
      <c r="U13" s="123"/>
      <c r="V13" s="123"/>
      <c r="W13" s="123"/>
      <c r="X13" s="123"/>
      <c r="Y13" s="123"/>
      <c r="Z13" s="124"/>
      <c r="AA13" s="156"/>
      <c r="AB13" s="157"/>
      <c r="AC13" s="157"/>
      <c r="AD13" s="158"/>
      <c r="AE13" s="122" t="s">
        <v>27</v>
      </c>
      <c r="AF13" s="123"/>
      <c r="AG13" s="123"/>
      <c r="AH13" s="123"/>
      <c r="AI13" s="123"/>
      <c r="AJ13" s="124"/>
    </row>
    <row r="14" spans="1:36" ht="13.95" customHeight="1" x14ac:dyDescent="0.25">
      <c r="A14" s="125"/>
      <c r="B14" s="126"/>
      <c r="C14" s="126"/>
      <c r="D14" s="126"/>
      <c r="E14" s="126"/>
      <c r="F14" s="126"/>
      <c r="G14" s="126"/>
      <c r="H14" s="127"/>
      <c r="I14" s="137"/>
      <c r="J14" s="138"/>
      <c r="K14" s="138"/>
      <c r="L14" s="139"/>
      <c r="M14" s="144"/>
      <c r="N14" s="145"/>
      <c r="O14" s="145"/>
      <c r="P14" s="145"/>
      <c r="Q14" s="145"/>
      <c r="R14" s="146"/>
      <c r="S14" s="155"/>
      <c r="T14" s="126"/>
      <c r="U14" s="126"/>
      <c r="V14" s="126"/>
      <c r="W14" s="126"/>
      <c r="X14" s="126"/>
      <c r="Y14" s="126"/>
      <c r="Z14" s="127"/>
      <c r="AA14" s="159"/>
      <c r="AB14" s="160"/>
      <c r="AC14" s="160"/>
      <c r="AD14" s="161"/>
      <c r="AE14" s="125"/>
      <c r="AF14" s="126"/>
      <c r="AG14" s="126"/>
      <c r="AH14" s="126"/>
      <c r="AI14" s="126"/>
      <c r="AJ14" s="127"/>
    </row>
    <row r="15" spans="1:36" ht="13.95" customHeight="1" x14ac:dyDescent="0.25">
      <c r="A15" s="122" t="s">
        <v>28</v>
      </c>
      <c r="B15" s="123"/>
      <c r="C15" s="123"/>
      <c r="D15" s="123"/>
      <c r="E15" s="123"/>
      <c r="F15" s="123"/>
      <c r="G15" s="123"/>
      <c r="H15" s="124"/>
      <c r="I15" s="140"/>
      <c r="J15" s="114"/>
      <c r="K15" s="114"/>
      <c r="L15" s="115"/>
      <c r="M15" s="122" t="s">
        <v>29</v>
      </c>
      <c r="N15" s="123"/>
      <c r="O15" s="123"/>
      <c r="P15" s="123"/>
      <c r="Q15" s="123"/>
      <c r="R15" s="147"/>
      <c r="S15" s="154" t="s">
        <v>30</v>
      </c>
      <c r="T15" s="123"/>
      <c r="U15" s="123"/>
      <c r="V15" s="123"/>
      <c r="W15" s="123"/>
      <c r="X15" s="123"/>
      <c r="Y15" s="123"/>
      <c r="Z15" s="124"/>
      <c r="AA15" s="140"/>
      <c r="AB15" s="114"/>
      <c r="AC15" s="114"/>
      <c r="AD15" s="115"/>
      <c r="AE15" s="122" t="s">
        <v>31</v>
      </c>
      <c r="AF15" s="123"/>
      <c r="AG15" s="123"/>
      <c r="AH15" s="123"/>
      <c r="AI15" s="123"/>
      <c r="AJ15" s="124"/>
    </row>
    <row r="16" spans="1:36" ht="13.95" customHeight="1" x14ac:dyDescent="0.25">
      <c r="A16" s="125"/>
      <c r="B16" s="126"/>
      <c r="C16" s="126"/>
      <c r="D16" s="126"/>
      <c r="E16" s="126"/>
      <c r="F16" s="126"/>
      <c r="G16" s="126"/>
      <c r="H16" s="127"/>
      <c r="I16" s="119"/>
      <c r="J16" s="120"/>
      <c r="K16" s="120"/>
      <c r="L16" s="121"/>
      <c r="M16" s="125"/>
      <c r="N16" s="126"/>
      <c r="O16" s="126"/>
      <c r="P16" s="126"/>
      <c r="Q16" s="126"/>
      <c r="R16" s="148"/>
      <c r="S16" s="155"/>
      <c r="T16" s="126"/>
      <c r="U16" s="126"/>
      <c r="V16" s="126"/>
      <c r="W16" s="126"/>
      <c r="X16" s="126"/>
      <c r="Y16" s="126"/>
      <c r="Z16" s="127"/>
      <c r="AA16" s="119"/>
      <c r="AB16" s="120"/>
      <c r="AC16" s="120"/>
      <c r="AD16" s="121"/>
      <c r="AE16" s="125"/>
      <c r="AF16" s="126"/>
      <c r="AG16" s="126"/>
      <c r="AH16" s="126"/>
      <c r="AI16" s="126"/>
      <c r="AJ16" s="127"/>
    </row>
    <row r="17" spans="1:38" ht="13.95" customHeight="1" x14ac:dyDescent="0.25">
      <c r="A17" s="122" t="s">
        <v>32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4"/>
      <c r="M17" s="140"/>
      <c r="N17" s="114"/>
      <c r="O17" s="114"/>
      <c r="P17" s="114"/>
      <c r="Q17" s="114"/>
      <c r="R17" s="114"/>
      <c r="S17" s="162" t="s">
        <v>33</v>
      </c>
      <c r="T17" s="123"/>
      <c r="U17" s="123"/>
      <c r="V17" s="123"/>
      <c r="W17" s="123"/>
      <c r="X17" s="123"/>
      <c r="Y17" s="123"/>
      <c r="Z17" s="124"/>
      <c r="AA17" s="163"/>
      <c r="AB17" s="163"/>
      <c r="AC17" s="163"/>
      <c r="AD17" s="163"/>
      <c r="AE17" s="122" t="s">
        <v>34</v>
      </c>
      <c r="AF17" s="123"/>
      <c r="AG17" s="123"/>
      <c r="AH17" s="123"/>
      <c r="AI17" s="123"/>
      <c r="AJ17" s="124"/>
    </row>
    <row r="18" spans="1:38" ht="13.95" customHeight="1" x14ac:dyDescent="0.25">
      <c r="A18" s="125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7"/>
      <c r="M18" s="119"/>
      <c r="N18" s="120"/>
      <c r="O18" s="120"/>
      <c r="P18" s="120"/>
      <c r="Q18" s="120"/>
      <c r="R18" s="120"/>
      <c r="S18" s="155"/>
      <c r="T18" s="126"/>
      <c r="U18" s="126"/>
      <c r="V18" s="126"/>
      <c r="W18" s="126"/>
      <c r="X18" s="126"/>
      <c r="Y18" s="126"/>
      <c r="Z18" s="127"/>
      <c r="AA18" s="163"/>
      <c r="AB18" s="163"/>
      <c r="AC18" s="163"/>
      <c r="AD18" s="163"/>
      <c r="AE18" s="125"/>
      <c r="AF18" s="126"/>
      <c r="AG18" s="126"/>
      <c r="AH18" s="126"/>
      <c r="AI18" s="126"/>
      <c r="AJ18" s="127"/>
    </row>
    <row r="19" spans="1:38" ht="123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spans="1:38" ht="13.95" customHeight="1" x14ac:dyDescent="0.25"/>
    <row r="21" spans="1:38" ht="13.95" customHeight="1" x14ac:dyDescent="0.25">
      <c r="A21" s="34" t="s">
        <v>35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6"/>
      <c r="P21" s="37" t="s">
        <v>36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8"/>
    </row>
    <row r="22" spans="1:38" ht="13.95" customHeight="1" x14ac:dyDescent="0.25">
      <c r="A22" s="113" t="s">
        <v>37</v>
      </c>
      <c r="B22" s="114"/>
      <c r="C22" s="115"/>
      <c r="D22" s="113" t="s">
        <v>38</v>
      </c>
      <c r="E22" s="114"/>
      <c r="F22" s="115"/>
      <c r="G22" s="113" t="s">
        <v>39</v>
      </c>
      <c r="H22" s="114"/>
      <c r="I22" s="115"/>
      <c r="J22" s="113" t="s">
        <v>40</v>
      </c>
      <c r="K22" s="114"/>
      <c r="L22" s="115"/>
      <c r="M22" s="113" t="s">
        <v>41</v>
      </c>
      <c r="N22" s="114"/>
      <c r="O22" s="115"/>
      <c r="P22" s="39"/>
      <c r="Q22" s="40"/>
      <c r="R22" s="41"/>
      <c r="S22" s="42" t="s">
        <v>42</v>
      </c>
      <c r="T22" s="40"/>
      <c r="U22" s="40"/>
      <c r="V22" s="40"/>
      <c r="W22" s="40"/>
      <c r="X22" s="40"/>
      <c r="Y22" s="41"/>
      <c r="Z22" s="43" t="s">
        <v>43</v>
      </c>
      <c r="AA22" s="43"/>
      <c r="AB22" s="43"/>
      <c r="AC22" s="44" t="s">
        <v>44</v>
      </c>
      <c r="AD22" s="44"/>
      <c r="AE22" s="44"/>
      <c r="AF22" s="44"/>
      <c r="AG22" s="44" t="s">
        <v>45</v>
      </c>
      <c r="AH22" s="44"/>
      <c r="AI22" s="44"/>
      <c r="AJ22" s="44"/>
    </row>
    <row r="23" spans="1:38" ht="13.95" customHeight="1" x14ac:dyDescent="0.25">
      <c r="A23" s="116"/>
      <c r="B23" s="117"/>
      <c r="C23" s="118"/>
      <c r="D23" s="116"/>
      <c r="E23" s="117"/>
      <c r="F23" s="118"/>
      <c r="G23" s="116"/>
      <c r="H23" s="117"/>
      <c r="I23" s="118"/>
      <c r="J23" s="116"/>
      <c r="K23" s="117"/>
      <c r="L23" s="118"/>
      <c r="M23" s="116"/>
      <c r="N23" s="117"/>
      <c r="O23" s="118"/>
      <c r="P23" s="39" t="s">
        <v>46</v>
      </c>
      <c r="Q23" s="40"/>
      <c r="R23" s="41"/>
      <c r="S23" s="45"/>
      <c r="T23" s="40"/>
      <c r="U23" s="40"/>
      <c r="V23" s="40"/>
      <c r="W23" s="40"/>
      <c r="X23" s="40"/>
      <c r="Y23" s="41"/>
      <c r="Z23" s="44"/>
      <c r="AA23" s="44"/>
      <c r="AB23" s="44"/>
      <c r="AC23" s="46"/>
      <c r="AD23" s="46"/>
      <c r="AE23" s="46"/>
      <c r="AF23" s="46"/>
      <c r="AG23" s="44" t="s">
        <v>47</v>
      </c>
      <c r="AH23" s="44"/>
      <c r="AI23" s="44"/>
      <c r="AJ23" s="44"/>
    </row>
    <row r="24" spans="1:38" ht="13.95" customHeight="1" x14ac:dyDescent="0.25">
      <c r="A24" s="116"/>
      <c r="B24" s="117"/>
      <c r="C24" s="118"/>
      <c r="D24" s="116"/>
      <c r="E24" s="117"/>
      <c r="F24" s="118"/>
      <c r="G24" s="116"/>
      <c r="H24" s="117"/>
      <c r="I24" s="118"/>
      <c r="J24" s="116"/>
      <c r="K24" s="117"/>
      <c r="L24" s="118"/>
      <c r="M24" s="116"/>
      <c r="N24" s="117"/>
      <c r="O24" s="118"/>
      <c r="P24" s="39" t="s">
        <v>48</v>
      </c>
      <c r="Q24" s="40"/>
      <c r="R24" s="41"/>
      <c r="S24" s="45"/>
      <c r="T24" s="40"/>
      <c r="U24" s="40"/>
      <c r="V24" s="40"/>
      <c r="W24" s="40"/>
      <c r="X24" s="40"/>
      <c r="Y24" s="41"/>
      <c r="Z24" s="44"/>
      <c r="AA24" s="44"/>
      <c r="AB24" s="44"/>
      <c r="AC24" s="46"/>
      <c r="AD24" s="46"/>
      <c r="AE24" s="46"/>
      <c r="AF24" s="46"/>
      <c r="AG24" s="46"/>
      <c r="AH24" s="46"/>
      <c r="AI24" s="46"/>
      <c r="AJ24" s="46"/>
    </row>
    <row r="25" spans="1:38" ht="13.95" customHeight="1" x14ac:dyDescent="0.25">
      <c r="A25" s="119"/>
      <c r="B25" s="120"/>
      <c r="C25" s="121"/>
      <c r="D25" s="119"/>
      <c r="E25" s="120"/>
      <c r="F25" s="121"/>
      <c r="G25" s="119"/>
      <c r="H25" s="120"/>
      <c r="I25" s="121"/>
      <c r="J25" s="119"/>
      <c r="K25" s="120"/>
      <c r="L25" s="121"/>
      <c r="M25" s="119"/>
      <c r="N25" s="120"/>
      <c r="O25" s="121"/>
      <c r="P25" s="39" t="s">
        <v>49</v>
      </c>
      <c r="Q25" s="40"/>
      <c r="R25" s="41"/>
      <c r="S25" s="45"/>
      <c r="T25" s="40"/>
      <c r="U25" s="40"/>
      <c r="V25" s="40"/>
      <c r="W25" s="40"/>
      <c r="X25" s="40"/>
      <c r="Y25" s="41"/>
      <c r="Z25" s="44"/>
      <c r="AA25" s="44"/>
      <c r="AB25" s="44"/>
      <c r="AC25" s="46"/>
      <c r="AD25" s="46"/>
      <c r="AE25" s="46"/>
      <c r="AF25" s="46"/>
      <c r="AG25" s="46"/>
      <c r="AH25" s="46"/>
      <c r="AI25" s="46"/>
      <c r="AJ25" s="46"/>
    </row>
    <row r="26" spans="1:38" ht="13.95" customHeight="1" x14ac:dyDescent="0.25">
      <c r="A26" s="101"/>
      <c r="B26" s="149"/>
      <c r="C26" s="102"/>
      <c r="D26" s="101"/>
      <c r="E26" s="149"/>
      <c r="F26" s="102"/>
      <c r="G26" s="101"/>
      <c r="H26" s="149"/>
      <c r="I26" s="102"/>
      <c r="J26" s="101"/>
      <c r="K26" s="149"/>
      <c r="L26" s="102"/>
      <c r="M26" s="101"/>
      <c r="N26" s="149"/>
      <c r="O26" s="150"/>
      <c r="P26" s="39" t="s">
        <v>50</v>
      </c>
      <c r="Q26" s="40"/>
      <c r="R26" s="41"/>
      <c r="S26" s="45"/>
      <c r="T26" s="40"/>
      <c r="U26" s="40"/>
      <c r="V26" s="40"/>
      <c r="W26" s="40"/>
      <c r="X26" s="40"/>
      <c r="Y26" s="41"/>
      <c r="Z26" s="44"/>
      <c r="AA26" s="44"/>
      <c r="AB26" s="44"/>
      <c r="AC26" s="46"/>
      <c r="AD26" s="46"/>
      <c r="AE26" s="46"/>
      <c r="AF26" s="46"/>
      <c r="AG26" s="46"/>
      <c r="AH26" s="46"/>
      <c r="AI26" s="46"/>
      <c r="AJ26" s="46"/>
      <c r="AK26" s="5" t="s">
        <v>51</v>
      </c>
      <c r="AL26" s="6">
        <f>SUM(AC23:AF27)</f>
        <v>0</v>
      </c>
    </row>
    <row r="27" spans="1:38" ht="13.95" customHeight="1" x14ac:dyDescent="0.25">
      <c r="A27" s="99"/>
      <c r="B27" s="51"/>
      <c r="C27" s="100"/>
      <c r="D27" s="99"/>
      <c r="E27" s="51"/>
      <c r="F27" s="100"/>
      <c r="G27" s="99"/>
      <c r="H27" s="51"/>
      <c r="I27" s="100"/>
      <c r="J27" s="99"/>
      <c r="K27" s="51"/>
      <c r="L27" s="100"/>
      <c r="M27" s="99"/>
      <c r="N27" s="51"/>
      <c r="O27" s="151"/>
      <c r="P27" s="39" t="s">
        <v>52</v>
      </c>
      <c r="Q27" s="40"/>
      <c r="R27" s="41"/>
      <c r="S27" s="45"/>
      <c r="T27" s="40"/>
      <c r="U27" s="40"/>
      <c r="V27" s="40"/>
      <c r="W27" s="40"/>
      <c r="X27" s="40"/>
      <c r="Y27" s="41"/>
      <c r="Z27" s="44"/>
      <c r="AA27" s="44"/>
      <c r="AB27" s="44"/>
      <c r="AC27" s="46"/>
      <c r="AD27" s="46"/>
      <c r="AE27" s="46"/>
      <c r="AF27" s="46"/>
      <c r="AG27" s="46"/>
      <c r="AH27" s="46"/>
      <c r="AI27" s="46"/>
      <c r="AJ27" s="46"/>
      <c r="AK27" s="5" t="s">
        <v>53</v>
      </c>
      <c r="AL27" s="7">
        <f>SUM(AG24:AJ27)</f>
        <v>0</v>
      </c>
    </row>
    <row r="28" spans="1:38" ht="11.25" customHeight="1" x14ac:dyDescent="0.25"/>
    <row r="29" spans="1:38" ht="13.95" customHeight="1" x14ac:dyDescent="0.25">
      <c r="A29" s="34" t="s">
        <v>54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8"/>
    </row>
    <row r="30" spans="1:38" ht="13.95" customHeight="1" x14ac:dyDescent="0.25">
      <c r="A30" s="87" t="s">
        <v>55</v>
      </c>
      <c r="B30" s="105"/>
      <c r="C30" s="105"/>
      <c r="D30" s="106"/>
      <c r="E30" s="76" t="s">
        <v>56</v>
      </c>
      <c r="F30" s="101"/>
      <c r="G30" s="102"/>
      <c r="H30" s="44" t="s">
        <v>52</v>
      </c>
      <c r="I30" s="44"/>
      <c r="J30" s="44"/>
      <c r="K30" s="101"/>
      <c r="L30" s="102"/>
      <c r="M30" s="76" t="s">
        <v>57</v>
      </c>
      <c r="N30" s="101"/>
      <c r="O30" s="102"/>
      <c r="P30" s="44" t="s">
        <v>52</v>
      </c>
      <c r="Q30" s="44"/>
      <c r="R30" s="44"/>
      <c r="S30" s="101"/>
      <c r="T30" s="102"/>
      <c r="U30" s="79" t="s">
        <v>58</v>
      </c>
      <c r="V30" s="44"/>
      <c r="W30" s="44"/>
      <c r="X30" s="44" t="s">
        <v>52</v>
      </c>
      <c r="Y30" s="44"/>
      <c r="Z30" s="44"/>
      <c r="AA30" s="44"/>
      <c r="AB30" s="44"/>
      <c r="AC30" s="79" t="s">
        <v>59</v>
      </c>
      <c r="AD30" s="44"/>
      <c r="AE30" s="44"/>
      <c r="AF30" s="44" t="s">
        <v>52</v>
      </c>
      <c r="AG30" s="44"/>
      <c r="AH30" s="44"/>
      <c r="AI30" s="44"/>
      <c r="AJ30" s="44"/>
    </row>
    <row r="31" spans="1:38" ht="13.95" customHeight="1" x14ac:dyDescent="0.25">
      <c r="A31" s="107"/>
      <c r="B31" s="108"/>
      <c r="C31" s="108"/>
      <c r="D31" s="109"/>
      <c r="E31" s="77"/>
      <c r="F31" s="103"/>
      <c r="G31" s="98"/>
      <c r="H31" s="44"/>
      <c r="I31" s="44"/>
      <c r="J31" s="44"/>
      <c r="K31" s="99"/>
      <c r="L31" s="100"/>
      <c r="M31" s="77"/>
      <c r="N31" s="103"/>
      <c r="O31" s="98"/>
      <c r="P31" s="44"/>
      <c r="Q31" s="44"/>
      <c r="R31" s="44"/>
      <c r="S31" s="99"/>
      <c r="T31" s="100"/>
      <c r="U31" s="80"/>
      <c r="V31" s="44"/>
      <c r="W31" s="44"/>
      <c r="X31" s="44"/>
      <c r="Y31" s="44"/>
      <c r="Z31" s="44"/>
      <c r="AA31" s="44"/>
      <c r="AB31" s="44"/>
      <c r="AC31" s="80"/>
      <c r="AD31" s="44"/>
      <c r="AE31" s="44"/>
      <c r="AF31" s="44"/>
      <c r="AG31" s="44"/>
      <c r="AH31" s="44"/>
      <c r="AI31" s="44"/>
      <c r="AJ31" s="44"/>
    </row>
    <row r="32" spans="1:38" ht="13.95" customHeight="1" x14ac:dyDescent="0.25">
      <c r="A32" s="107"/>
      <c r="B32" s="108"/>
      <c r="C32" s="108"/>
      <c r="D32" s="109"/>
      <c r="E32" s="77"/>
      <c r="F32" s="103"/>
      <c r="G32" s="98"/>
      <c r="H32" s="44" t="s">
        <v>60</v>
      </c>
      <c r="I32" s="44"/>
      <c r="J32" s="44"/>
      <c r="K32" s="101"/>
      <c r="L32" s="102"/>
      <c r="M32" s="77"/>
      <c r="N32" s="103"/>
      <c r="O32" s="98"/>
      <c r="P32" s="44" t="s">
        <v>60</v>
      </c>
      <c r="Q32" s="44"/>
      <c r="R32" s="44"/>
      <c r="S32" s="101"/>
      <c r="T32" s="102"/>
      <c r="U32" s="80"/>
      <c r="V32" s="44"/>
      <c r="W32" s="44"/>
      <c r="X32" s="44" t="s">
        <v>60</v>
      </c>
      <c r="Y32" s="44"/>
      <c r="Z32" s="44"/>
      <c r="AA32" s="44"/>
      <c r="AB32" s="44"/>
      <c r="AC32" s="80"/>
      <c r="AD32" s="44"/>
      <c r="AE32" s="44"/>
      <c r="AF32" s="44" t="s">
        <v>60</v>
      </c>
      <c r="AG32" s="44"/>
      <c r="AH32" s="44"/>
      <c r="AI32" s="44"/>
      <c r="AJ32" s="44"/>
    </row>
    <row r="33" spans="1:38" ht="13.95" customHeight="1" x14ac:dyDescent="0.25">
      <c r="A33" s="110"/>
      <c r="B33" s="111"/>
      <c r="C33" s="111"/>
      <c r="D33" s="112"/>
      <c r="E33" s="78"/>
      <c r="F33" s="99"/>
      <c r="G33" s="100"/>
      <c r="H33" s="44"/>
      <c r="I33" s="44"/>
      <c r="J33" s="44"/>
      <c r="K33" s="99"/>
      <c r="L33" s="100"/>
      <c r="M33" s="77"/>
      <c r="N33" s="103"/>
      <c r="O33" s="98"/>
      <c r="P33" s="104"/>
      <c r="Q33" s="104"/>
      <c r="R33" s="104"/>
      <c r="S33" s="103"/>
      <c r="T33" s="98"/>
      <c r="U33" s="81"/>
      <c r="V33" s="104"/>
      <c r="W33" s="104"/>
      <c r="X33" s="104"/>
      <c r="Y33" s="104"/>
      <c r="Z33" s="104"/>
      <c r="AA33" s="104"/>
      <c r="AB33" s="104"/>
      <c r="AC33" s="81"/>
      <c r="AD33" s="104"/>
      <c r="AE33" s="104"/>
      <c r="AF33" s="104"/>
      <c r="AG33" s="104"/>
      <c r="AH33" s="104"/>
      <c r="AI33" s="104"/>
      <c r="AJ33" s="104"/>
    </row>
    <row r="34" spans="1:38" ht="13.95" customHeight="1" x14ac:dyDescent="0.25">
      <c r="A34" s="87" t="s">
        <v>61</v>
      </c>
      <c r="B34" s="88"/>
      <c r="C34" s="88"/>
      <c r="D34" s="89"/>
      <c r="E34" s="76" t="s">
        <v>56</v>
      </c>
      <c r="F34" s="101"/>
      <c r="G34" s="102"/>
      <c r="H34" s="44" t="s">
        <v>62</v>
      </c>
      <c r="I34" s="44"/>
      <c r="J34" s="44"/>
      <c r="K34" s="44"/>
      <c r="L34" s="45"/>
      <c r="M34" s="48" t="s">
        <v>63</v>
      </c>
      <c r="N34" s="48"/>
      <c r="O34" s="48"/>
      <c r="P34" s="85"/>
      <c r="Q34" s="85"/>
      <c r="R34" s="85"/>
      <c r="S34" s="86" t="s">
        <v>64</v>
      </c>
      <c r="T34" s="86"/>
      <c r="U34" s="86"/>
      <c r="V34" s="86"/>
      <c r="W34" s="85"/>
      <c r="X34" s="85"/>
      <c r="Y34" s="85"/>
      <c r="Z34" s="85"/>
      <c r="AA34" s="82" t="s">
        <v>65</v>
      </c>
      <c r="AB34" s="60"/>
      <c r="AC34" s="60"/>
      <c r="AD34" s="83" t="s">
        <v>66</v>
      </c>
      <c r="AE34" s="83"/>
      <c r="AF34" s="83"/>
      <c r="AG34" s="83"/>
      <c r="AH34" s="83"/>
      <c r="AI34" s="83"/>
      <c r="AJ34" s="83"/>
    </row>
    <row r="35" spans="1:38" ht="13.95" customHeight="1" x14ac:dyDescent="0.25">
      <c r="A35" s="90"/>
      <c r="B35" s="91"/>
      <c r="C35" s="91"/>
      <c r="D35" s="92"/>
      <c r="E35" s="77"/>
      <c r="F35" s="103"/>
      <c r="G35" s="98"/>
      <c r="H35" s="44"/>
      <c r="I35" s="44"/>
      <c r="J35" s="44"/>
      <c r="K35" s="44"/>
      <c r="L35" s="45"/>
      <c r="M35" s="48"/>
      <c r="N35" s="48"/>
      <c r="O35" s="48"/>
      <c r="P35" s="85"/>
      <c r="Q35" s="85"/>
      <c r="R35" s="85"/>
      <c r="S35" s="86"/>
      <c r="T35" s="86"/>
      <c r="U35" s="86"/>
      <c r="V35" s="86"/>
      <c r="W35" s="85"/>
      <c r="X35" s="85"/>
      <c r="Y35" s="85"/>
      <c r="Z35" s="85"/>
      <c r="AA35" s="60"/>
      <c r="AB35" s="60"/>
      <c r="AC35" s="60"/>
      <c r="AD35" s="83"/>
      <c r="AE35" s="83"/>
      <c r="AF35" s="83"/>
      <c r="AG35" s="83"/>
      <c r="AH35" s="83"/>
      <c r="AI35" s="83"/>
      <c r="AJ35" s="83"/>
    </row>
    <row r="36" spans="1:38" ht="13.95" customHeight="1" x14ac:dyDescent="0.25">
      <c r="A36" s="90"/>
      <c r="B36" s="91"/>
      <c r="C36" s="91"/>
      <c r="D36" s="92"/>
      <c r="E36" s="77"/>
      <c r="F36" s="103"/>
      <c r="G36" s="98"/>
      <c r="H36" s="44" t="s">
        <v>60</v>
      </c>
      <c r="I36" s="44"/>
      <c r="J36" s="44"/>
      <c r="K36" s="44"/>
      <c r="L36" s="45"/>
      <c r="M36" s="48"/>
      <c r="N36" s="48"/>
      <c r="O36" s="48"/>
      <c r="P36" s="85"/>
      <c r="Q36" s="85"/>
      <c r="R36" s="85"/>
      <c r="S36" s="86" t="s">
        <v>67</v>
      </c>
      <c r="T36" s="86"/>
      <c r="U36" s="86"/>
      <c r="V36" s="86"/>
      <c r="W36" s="85"/>
      <c r="X36" s="85"/>
      <c r="Y36" s="85"/>
      <c r="Z36" s="85"/>
      <c r="AA36" s="60"/>
      <c r="AB36" s="60"/>
      <c r="AC36" s="60"/>
      <c r="AD36" s="84" t="s">
        <v>68</v>
      </c>
      <c r="AE36" s="84"/>
      <c r="AF36" s="84"/>
      <c r="AG36" s="83"/>
      <c r="AH36" s="83"/>
      <c r="AI36" s="83"/>
      <c r="AJ36" s="83"/>
    </row>
    <row r="37" spans="1:38" ht="13.95" customHeight="1" x14ac:dyDescent="0.25">
      <c r="A37" s="93"/>
      <c r="B37" s="94"/>
      <c r="C37" s="94"/>
      <c r="D37" s="95"/>
      <c r="E37" s="78"/>
      <c r="F37" s="99"/>
      <c r="G37" s="100"/>
      <c r="H37" s="44"/>
      <c r="I37" s="44"/>
      <c r="J37" s="44"/>
      <c r="K37" s="44"/>
      <c r="L37" s="45"/>
      <c r="M37" s="48"/>
      <c r="N37" s="48"/>
      <c r="O37" s="48"/>
      <c r="P37" s="85"/>
      <c r="Q37" s="85"/>
      <c r="R37" s="85"/>
      <c r="S37" s="86"/>
      <c r="T37" s="86"/>
      <c r="U37" s="86"/>
      <c r="V37" s="86"/>
      <c r="W37" s="85"/>
      <c r="X37" s="85"/>
      <c r="Y37" s="85"/>
      <c r="Z37" s="85"/>
      <c r="AA37" s="60"/>
      <c r="AB37" s="60"/>
      <c r="AC37" s="60"/>
      <c r="AD37" s="84"/>
      <c r="AE37" s="84"/>
      <c r="AF37" s="84"/>
      <c r="AG37" s="83"/>
      <c r="AH37" s="83"/>
      <c r="AI37" s="83"/>
      <c r="AJ37" s="83"/>
    </row>
    <row r="38" spans="1:38" ht="11.25" customHeight="1" x14ac:dyDescent="0.25"/>
    <row r="39" spans="1:38" ht="13.5" customHeight="1" x14ac:dyDescent="0.25">
      <c r="A39" s="47" t="s">
        <v>69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</row>
    <row r="40" spans="1:38" ht="13.5" customHeight="1" x14ac:dyDescent="0.25">
      <c r="A40" s="44" t="s">
        <v>70</v>
      </c>
      <c r="B40" s="44"/>
      <c r="C40" s="44"/>
      <c r="D40" s="44"/>
      <c r="E40" s="44"/>
      <c r="F40" s="44"/>
      <c r="G40" s="44" t="e">
        <f>#REF!</f>
        <v>#REF!</v>
      </c>
      <c r="H40" s="44"/>
      <c r="I40" s="44"/>
      <c r="J40" s="44"/>
      <c r="K40" s="44"/>
      <c r="L40" s="44"/>
      <c r="M40" s="44" t="s">
        <v>71</v>
      </c>
      <c r="N40" s="44"/>
      <c r="O40" s="44"/>
      <c r="P40" s="44"/>
      <c r="Q40" s="44"/>
      <c r="R40" s="44"/>
      <c r="S40" s="44" t="e">
        <f>#REF!</f>
        <v>#REF!</v>
      </c>
      <c r="T40" s="44"/>
      <c r="U40" s="44"/>
      <c r="V40" s="44"/>
      <c r="W40" s="44"/>
      <c r="X40" s="44"/>
      <c r="Y40" s="44" t="s">
        <v>72</v>
      </c>
      <c r="Z40" s="44"/>
      <c r="AA40" s="44"/>
      <c r="AB40" s="44"/>
      <c r="AC40" s="44"/>
      <c r="AD40" s="44"/>
      <c r="AE40" s="44" t="e">
        <f>#REF!</f>
        <v>#REF!</v>
      </c>
      <c r="AF40" s="44"/>
      <c r="AG40" s="44"/>
      <c r="AH40" s="44"/>
      <c r="AI40" s="44"/>
      <c r="AJ40" s="44"/>
    </row>
    <row r="41" spans="1:38" ht="11.25" customHeight="1" x14ac:dyDescent="0.25"/>
    <row r="42" spans="1:38" s="3" customFormat="1" ht="13.5" customHeight="1" x14ac:dyDescent="0.25">
      <c r="A42" s="47" t="s">
        <v>73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L42" s="8"/>
    </row>
    <row r="43" spans="1:38" ht="13.5" customHeight="1" x14ac:dyDescent="0.25">
      <c r="A43" s="49" t="s">
        <v>74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3"/>
      <c r="P43" s="43"/>
      <c r="Q43" s="43"/>
      <c r="R43" s="43"/>
      <c r="S43" s="43"/>
      <c r="T43" s="43"/>
      <c r="U43" s="43"/>
      <c r="V43" s="50" t="s">
        <v>75</v>
      </c>
      <c r="W43" s="50"/>
      <c r="X43" s="50"/>
      <c r="Y43" s="50"/>
      <c r="Z43" s="50"/>
      <c r="AA43" s="50"/>
      <c r="AB43" s="50"/>
      <c r="AC43" s="50"/>
      <c r="AD43" s="43"/>
      <c r="AE43" s="43"/>
      <c r="AF43" s="43"/>
      <c r="AG43" s="43"/>
      <c r="AH43" s="43"/>
      <c r="AI43" s="43"/>
      <c r="AJ43" s="43"/>
      <c r="AL43" s="9"/>
    </row>
    <row r="44" spans="1:38" ht="13.5" customHeight="1" x14ac:dyDescent="0.25">
      <c r="A44" s="49" t="s">
        <v>76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3"/>
      <c r="P44" s="43"/>
      <c r="Q44" s="43"/>
      <c r="R44" s="43"/>
      <c r="S44" s="43"/>
      <c r="T44" s="43"/>
      <c r="U44" s="43"/>
      <c r="V44" s="50" t="s">
        <v>77</v>
      </c>
      <c r="W44" s="50"/>
      <c r="X44" s="50"/>
      <c r="Y44" s="50"/>
      <c r="Z44" s="50"/>
      <c r="AA44" s="50"/>
      <c r="AB44" s="50"/>
      <c r="AC44" s="50"/>
      <c r="AD44" s="43"/>
      <c r="AE44" s="43"/>
      <c r="AF44" s="43"/>
      <c r="AG44" s="43"/>
      <c r="AH44" s="43"/>
      <c r="AI44" s="43"/>
      <c r="AJ44" s="43"/>
      <c r="AL44" s="9"/>
    </row>
    <row r="45" spans="1:38" ht="13.5" customHeight="1" x14ac:dyDescent="0.25">
      <c r="AL45" s="9"/>
    </row>
    <row r="46" spans="1:38" ht="11.25" customHeight="1" x14ac:dyDescent="0.2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L46" s="9"/>
    </row>
    <row r="47" spans="1:38" ht="11.25" customHeight="1" x14ac:dyDescent="0.25">
      <c r="AL47" s="9"/>
    </row>
    <row r="48" spans="1:38" ht="11.25" customHeight="1" x14ac:dyDescent="0.25"/>
    <row r="49" spans="1:41" ht="13.5" customHeight="1" x14ac:dyDescent="0.25">
      <c r="A49" s="34" t="s">
        <v>78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3"/>
      <c r="S49" s="52" t="s">
        <v>79</v>
      </c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spans="1:41" ht="13.95" customHeight="1" x14ac:dyDescent="0.25">
      <c r="A50" s="49" t="s">
        <v>80</v>
      </c>
      <c r="B50" s="49"/>
      <c r="C50" s="49"/>
      <c r="D50" s="44" t="s">
        <v>81</v>
      </c>
      <c r="E50" s="44"/>
      <c r="F50" s="44"/>
      <c r="G50" s="44"/>
      <c r="H50" s="44"/>
      <c r="I50" s="44" t="s">
        <v>82</v>
      </c>
      <c r="J50" s="44"/>
      <c r="K50" s="44"/>
      <c r="L50" s="44"/>
      <c r="M50" s="44"/>
      <c r="N50" s="44" t="s">
        <v>83</v>
      </c>
      <c r="O50" s="44"/>
      <c r="P50" s="44"/>
      <c r="Q50" s="44"/>
      <c r="R50" s="58"/>
      <c r="S50" s="56" t="s">
        <v>43</v>
      </c>
      <c r="T50" s="49"/>
      <c r="U50" s="49"/>
      <c r="V50" s="49"/>
      <c r="W50" s="49"/>
      <c r="X50" s="49"/>
      <c r="Y50" s="54" t="s">
        <v>84</v>
      </c>
      <c r="Z50" s="55"/>
      <c r="AA50" s="55"/>
      <c r="AB50" s="55"/>
      <c r="AC50" s="55"/>
      <c r="AD50" s="55"/>
      <c r="AE50" s="55"/>
      <c r="AF50" s="55"/>
      <c r="AG50" s="56"/>
      <c r="AH50" s="164" t="s">
        <v>85</v>
      </c>
      <c r="AI50" s="164"/>
      <c r="AJ50" s="164"/>
    </row>
    <row r="51" spans="1:41" ht="13.95" customHeight="1" x14ac:dyDescent="0.25">
      <c r="A51" s="49"/>
      <c r="B51" s="49"/>
      <c r="C51" s="49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58"/>
      <c r="S51" s="56"/>
      <c r="T51" s="49"/>
      <c r="U51" s="49"/>
      <c r="V51" s="49"/>
      <c r="W51" s="49"/>
      <c r="X51" s="49"/>
      <c r="Y51" s="57" t="s">
        <v>57</v>
      </c>
      <c r="Z51" s="57"/>
      <c r="AA51" s="57"/>
      <c r="AB51" s="57" t="s">
        <v>58</v>
      </c>
      <c r="AC51" s="57"/>
      <c r="AD51" s="57"/>
      <c r="AE51" s="57" t="s">
        <v>59</v>
      </c>
      <c r="AF51" s="57"/>
      <c r="AG51" s="57"/>
      <c r="AH51" s="164"/>
      <c r="AI51" s="164"/>
      <c r="AJ51" s="164"/>
    </row>
    <row r="52" spans="1:41" ht="13.95" customHeight="1" x14ac:dyDescent="0.25">
      <c r="A52" s="44" t="s">
        <v>48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58"/>
      <c r="S52" s="165" t="s">
        <v>86</v>
      </c>
      <c r="T52" s="163"/>
      <c r="U52" s="163"/>
      <c r="V52" s="44" t="s">
        <v>60</v>
      </c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</row>
    <row r="53" spans="1:41" ht="13.95" customHeight="1" x14ac:dyDescent="0.25">
      <c r="A53" s="44" t="s">
        <v>49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58"/>
      <c r="S53" s="166"/>
      <c r="T53" s="163"/>
      <c r="U53" s="163"/>
      <c r="V53" s="44" t="s">
        <v>52</v>
      </c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</row>
    <row r="54" spans="1:41" ht="13.95" customHeight="1" x14ac:dyDescent="0.25">
      <c r="A54" s="44" t="s">
        <v>50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58"/>
      <c r="S54" s="165" t="s">
        <v>87</v>
      </c>
      <c r="T54" s="163"/>
      <c r="U54" s="163"/>
      <c r="V54" s="44" t="s">
        <v>60</v>
      </c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</row>
    <row r="55" spans="1:41" ht="13.95" customHeight="1" x14ac:dyDescent="0.25">
      <c r="A55" s="44" t="s">
        <v>52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58"/>
      <c r="S55" s="166"/>
      <c r="T55" s="163"/>
      <c r="U55" s="163"/>
      <c r="V55" s="44" t="s">
        <v>52</v>
      </c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</row>
    <row r="56" spans="1:41" ht="13.95" customHeight="1" x14ac:dyDescent="0.25">
      <c r="A56" s="44" t="s">
        <v>53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58"/>
      <c r="S56" s="165" t="s">
        <v>88</v>
      </c>
      <c r="T56" s="163"/>
      <c r="U56" s="163"/>
      <c r="V56" s="44" t="s">
        <v>60</v>
      </c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</row>
    <row r="57" spans="1:41" ht="13.95" customHeight="1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58"/>
      <c r="S57" s="166"/>
      <c r="T57" s="163"/>
      <c r="U57" s="163"/>
      <c r="V57" s="44" t="s">
        <v>52</v>
      </c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</row>
    <row r="58" spans="1:41" ht="11.25" customHeight="1" x14ac:dyDescent="0.25"/>
    <row r="59" spans="1:41" ht="13.95" customHeight="1" x14ac:dyDescent="0.25">
      <c r="A59" s="48" t="s">
        <v>89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82" t="s">
        <v>90</v>
      </c>
      <c r="AH59" s="82"/>
      <c r="AI59" s="82"/>
      <c r="AJ59" s="82"/>
    </row>
    <row r="60" spans="1:41" ht="13.95" customHeight="1" x14ac:dyDescent="0.25">
      <c r="A60" s="44"/>
      <c r="B60" s="44"/>
      <c r="C60" s="44"/>
      <c r="D60" s="44"/>
      <c r="E60" s="96" t="s">
        <v>91</v>
      </c>
      <c r="F60" s="97"/>
      <c r="G60" s="97"/>
      <c r="H60" s="98"/>
      <c r="I60" s="96" t="s">
        <v>92</v>
      </c>
      <c r="J60" s="97"/>
      <c r="K60" s="97"/>
      <c r="L60" s="98"/>
      <c r="M60" s="96" t="s">
        <v>93</v>
      </c>
      <c r="N60" s="97"/>
      <c r="O60" s="97"/>
      <c r="P60" s="98"/>
      <c r="Q60" s="96" t="s">
        <v>94</v>
      </c>
      <c r="R60" s="97"/>
      <c r="S60" s="97"/>
      <c r="T60" s="98"/>
      <c r="U60" s="96" t="s">
        <v>95</v>
      </c>
      <c r="V60" s="97"/>
      <c r="W60" s="97"/>
      <c r="X60" s="98"/>
      <c r="Y60" s="96" t="s">
        <v>96</v>
      </c>
      <c r="Z60" s="97"/>
      <c r="AA60" s="97"/>
      <c r="AB60" s="98"/>
      <c r="AC60" s="96" t="s">
        <v>97</v>
      </c>
      <c r="AD60" s="97"/>
      <c r="AE60" s="97"/>
      <c r="AF60" s="98"/>
      <c r="AG60" s="82"/>
      <c r="AH60" s="82"/>
      <c r="AI60" s="82"/>
      <c r="AJ60" s="82"/>
      <c r="AK60" s="10"/>
      <c r="AL60" s="10"/>
      <c r="AM60" s="10"/>
      <c r="AN60" s="10"/>
      <c r="AO60" s="10"/>
    </row>
    <row r="61" spans="1:41" ht="13.95" customHeight="1" x14ac:dyDescent="0.25">
      <c r="A61" s="44"/>
      <c r="B61" s="44"/>
      <c r="C61" s="44"/>
      <c r="D61" s="44"/>
      <c r="E61" s="99"/>
      <c r="F61" s="51"/>
      <c r="G61" s="51"/>
      <c r="H61" s="100"/>
      <c r="I61" s="99"/>
      <c r="J61" s="51"/>
      <c r="K61" s="51"/>
      <c r="L61" s="100"/>
      <c r="M61" s="99"/>
      <c r="N61" s="51"/>
      <c r="O61" s="51"/>
      <c r="P61" s="100"/>
      <c r="Q61" s="99"/>
      <c r="R61" s="51"/>
      <c r="S61" s="51"/>
      <c r="T61" s="100"/>
      <c r="U61" s="99"/>
      <c r="V61" s="51"/>
      <c r="W61" s="51"/>
      <c r="X61" s="100"/>
      <c r="Y61" s="99"/>
      <c r="Z61" s="51"/>
      <c r="AA61" s="51"/>
      <c r="AB61" s="100"/>
      <c r="AC61" s="99"/>
      <c r="AD61" s="51"/>
      <c r="AE61" s="51"/>
      <c r="AF61" s="100"/>
      <c r="AG61" s="82"/>
      <c r="AH61" s="82"/>
      <c r="AI61" s="82"/>
      <c r="AJ61" s="82"/>
      <c r="AK61" s="11"/>
      <c r="AL61" s="11"/>
      <c r="AM61" s="10"/>
      <c r="AN61" s="11"/>
      <c r="AO61" s="11"/>
    </row>
    <row r="62" spans="1:41" ht="13.95" customHeight="1" x14ac:dyDescent="0.25">
      <c r="A62" s="44" t="s">
        <v>98</v>
      </c>
      <c r="B62" s="44"/>
      <c r="C62" s="44"/>
      <c r="D62" s="44"/>
      <c r="E62" s="45"/>
      <c r="F62" s="40"/>
      <c r="G62" s="40"/>
      <c r="H62" s="41"/>
      <c r="I62" s="45"/>
      <c r="J62" s="40"/>
      <c r="K62" s="40"/>
      <c r="L62" s="41"/>
      <c r="M62" s="45"/>
      <c r="N62" s="40"/>
      <c r="O62" s="40"/>
      <c r="P62" s="41"/>
      <c r="Q62" s="45"/>
      <c r="R62" s="40"/>
      <c r="S62" s="40"/>
      <c r="T62" s="41"/>
      <c r="U62" s="45"/>
      <c r="V62" s="40"/>
      <c r="W62" s="40"/>
      <c r="X62" s="41"/>
      <c r="Y62" s="45"/>
      <c r="Z62" s="40"/>
      <c r="AA62" s="40"/>
      <c r="AB62" s="41"/>
      <c r="AC62" s="45"/>
      <c r="AD62" s="40"/>
      <c r="AE62" s="40"/>
      <c r="AF62" s="41"/>
      <c r="AG62" s="59"/>
      <c r="AH62" s="59"/>
      <c r="AI62" s="59"/>
      <c r="AJ62" s="59"/>
      <c r="AK62" s="12"/>
      <c r="AL62" s="12"/>
      <c r="AM62" s="10"/>
      <c r="AN62" s="12"/>
      <c r="AO62" s="12"/>
    </row>
    <row r="63" spans="1:41" ht="13.95" customHeight="1" x14ac:dyDescent="0.25">
      <c r="A63" s="43" t="s">
        <v>87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10"/>
      <c r="AL63" s="10"/>
      <c r="AM63" s="10"/>
      <c r="AN63" s="10"/>
      <c r="AO63" s="10"/>
    </row>
    <row r="64" spans="1:41" ht="13.95" customHeight="1" x14ac:dyDescent="0.25">
      <c r="A64" s="43" t="s">
        <v>86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</row>
    <row r="65" spans="1:71" ht="13.95" customHeight="1" x14ac:dyDescent="0.25">
      <c r="A65" s="43" t="s">
        <v>88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</row>
    <row r="66" spans="1:71" ht="13.95" customHeight="1" x14ac:dyDescent="0.25">
      <c r="A66" s="60" t="s">
        <v>99</v>
      </c>
      <c r="B66" s="60"/>
      <c r="C66" s="60"/>
      <c r="D66" s="60"/>
      <c r="E66" s="60"/>
      <c r="F66" s="60"/>
      <c r="G66" s="60"/>
      <c r="H66" s="60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7" t="s">
        <v>100</v>
      </c>
      <c r="T66" s="48"/>
      <c r="U66" s="48"/>
      <c r="V66" s="48"/>
      <c r="W66" s="48"/>
      <c r="X66" s="48"/>
      <c r="Y66" s="48"/>
      <c r="Z66" s="48"/>
      <c r="AA66" s="48"/>
      <c r="AB66" s="48"/>
      <c r="AC66" s="44"/>
      <c r="AD66" s="44"/>
      <c r="AE66" s="44"/>
      <c r="AF66" s="44"/>
      <c r="AG66" s="44"/>
      <c r="AH66" s="44"/>
      <c r="AI66" s="44"/>
      <c r="AJ66" s="44"/>
    </row>
    <row r="67" spans="1:71" ht="11.25" customHeight="1" x14ac:dyDescent="0.25"/>
    <row r="68" spans="1:71" ht="13.95" customHeight="1" x14ac:dyDescent="0.25">
      <c r="A68" s="152" t="s">
        <v>101</v>
      </c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</row>
    <row r="69" spans="1:71" ht="13.95" customHeight="1" x14ac:dyDescent="0.25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</row>
    <row r="70" spans="1:71" ht="11.25" customHeight="1" x14ac:dyDescent="0.25"/>
    <row r="71" spans="1:71" ht="13.5" customHeight="1" x14ac:dyDescent="0.25">
      <c r="A71" s="4">
        <v>1</v>
      </c>
      <c r="B71" s="61" t="s">
        <v>102</v>
      </c>
      <c r="C71" s="61"/>
      <c r="D71" s="61"/>
      <c r="E71" s="62">
        <f>I11</f>
        <v>0</v>
      </c>
      <c r="F71" s="62"/>
      <c r="G71" s="62"/>
      <c r="H71" s="62"/>
      <c r="I71" s="61" t="s">
        <v>103</v>
      </c>
      <c r="J71" s="61"/>
      <c r="K71" s="61"/>
      <c r="L71" s="61"/>
      <c r="M71" s="62">
        <f>I13</f>
        <v>0</v>
      </c>
      <c r="N71" s="62"/>
      <c r="O71" s="62"/>
      <c r="P71" s="62"/>
      <c r="Q71" s="61" t="s">
        <v>104</v>
      </c>
      <c r="R71" s="61"/>
      <c r="S71" s="61"/>
      <c r="T71" s="61"/>
      <c r="U71" s="61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71" s="4" customFormat="1" ht="11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71" ht="13.5" customHeight="1" x14ac:dyDescent="0.25">
      <c r="A73" s="4">
        <v>2</v>
      </c>
      <c r="B73" s="61" t="s">
        <v>105</v>
      </c>
      <c r="C73" s="61"/>
      <c r="D73" s="61"/>
      <c r="E73" s="61"/>
      <c r="F73" s="61"/>
      <c r="G73" s="61"/>
      <c r="H73" s="63">
        <f>A26</f>
        <v>0</v>
      </c>
      <c r="I73" s="63"/>
      <c r="J73" s="63"/>
      <c r="K73" s="61" t="s">
        <v>106</v>
      </c>
      <c r="L73" s="61"/>
      <c r="M73" s="61"/>
      <c r="N73" s="61"/>
      <c r="O73" s="61"/>
      <c r="P73" s="61"/>
      <c r="Q73" s="61"/>
      <c r="R73" s="61"/>
      <c r="S73" s="61"/>
      <c r="T73" s="61"/>
      <c r="U73" s="63">
        <f>M26</f>
        <v>0</v>
      </c>
      <c r="V73" s="63"/>
      <c r="W73" s="63"/>
      <c r="X73" s="61" t="s">
        <v>107</v>
      </c>
      <c r="Y73" s="61"/>
      <c r="Z73" s="61"/>
      <c r="AA73" s="4"/>
      <c r="AB73" s="4"/>
      <c r="AC73" s="4"/>
      <c r="AD73" s="14"/>
      <c r="AE73" s="14"/>
      <c r="AF73" s="14"/>
      <c r="AG73" s="4"/>
      <c r="AH73" s="4"/>
      <c r="AI73" s="4"/>
      <c r="AJ73" s="4"/>
      <c r="AM73" s="15" t="s">
        <v>108</v>
      </c>
    </row>
    <row r="74" spans="1:71" s="4" customFormat="1" ht="11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71" ht="13.5" customHeight="1" x14ac:dyDescent="0.25">
      <c r="A75" s="4"/>
      <c r="B75" s="61" t="s">
        <v>109</v>
      </c>
      <c r="C75" s="61"/>
      <c r="D75" s="61"/>
      <c r="E75" s="61"/>
      <c r="F75" s="61"/>
      <c r="G75" s="61"/>
      <c r="H75" s="64">
        <f>AA11</f>
        <v>0</v>
      </c>
      <c r="I75" s="64"/>
      <c r="J75" s="64"/>
      <c r="K75" s="61" t="s">
        <v>110</v>
      </c>
      <c r="L75" s="61"/>
      <c r="M75" s="61"/>
      <c r="N75" s="61"/>
      <c r="O75" s="61"/>
      <c r="P75" s="61"/>
      <c r="Q75" s="61"/>
      <c r="R75" s="61"/>
      <c r="S75" s="65">
        <f>AA13</f>
        <v>0</v>
      </c>
      <c r="T75" s="65"/>
      <c r="U75" s="65"/>
      <c r="V75" s="65"/>
      <c r="W75" s="20" t="s">
        <v>111</v>
      </c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71" s="4" customFormat="1" ht="11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71" ht="13.5" customHeight="1" x14ac:dyDescent="0.25">
      <c r="A77" s="14">
        <v>3</v>
      </c>
      <c r="B77" s="61" t="s">
        <v>112</v>
      </c>
      <c r="C77" s="61"/>
      <c r="D77" s="61"/>
      <c r="E77" s="61"/>
      <c r="F77" s="61"/>
      <c r="G77" s="61"/>
      <c r="H77" s="61"/>
      <c r="I77" s="61"/>
      <c r="J77" s="61"/>
      <c r="K77" s="61"/>
      <c r="L77" s="64" t="s">
        <v>113</v>
      </c>
      <c r="M77" s="64"/>
      <c r="N77" s="66">
        <f>AC24</f>
        <v>0</v>
      </c>
      <c r="O77" s="66"/>
      <c r="P77" s="66"/>
      <c r="Q77" s="21" t="s">
        <v>114</v>
      </c>
      <c r="R77" s="64" t="s">
        <v>115</v>
      </c>
      <c r="S77" s="64"/>
      <c r="T77" s="67">
        <f>AC25</f>
        <v>0</v>
      </c>
      <c r="U77" s="67"/>
      <c r="V77" s="67"/>
      <c r="W77" s="21" t="s">
        <v>114</v>
      </c>
      <c r="X77" s="64" t="s">
        <v>116</v>
      </c>
      <c r="Y77" s="64"/>
      <c r="Z77" s="67">
        <f>AC26</f>
        <v>0</v>
      </c>
      <c r="AA77" s="67"/>
      <c r="AB77" s="67"/>
      <c r="AC77" s="21" t="s">
        <v>114</v>
      </c>
      <c r="AD77" s="64" t="s">
        <v>117</v>
      </c>
      <c r="AE77" s="64"/>
      <c r="AF77" s="64"/>
      <c r="AG77" s="67">
        <f>AC27</f>
        <v>0</v>
      </c>
      <c r="AH77" s="67"/>
      <c r="AI77" s="67"/>
      <c r="AJ77" s="21" t="s">
        <v>111</v>
      </c>
    </row>
    <row r="78" spans="1:71" s="4" customFormat="1" ht="11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71" ht="13.5" customHeight="1" x14ac:dyDescent="0.25">
      <c r="A79" s="4">
        <v>4</v>
      </c>
      <c r="B79" s="61" t="s">
        <v>118</v>
      </c>
      <c r="C79" s="61"/>
      <c r="D79" s="61"/>
      <c r="E79" s="61"/>
      <c r="F79" s="61"/>
      <c r="G79" s="61"/>
      <c r="H79" s="61"/>
      <c r="I79" s="61"/>
      <c r="J79" s="64">
        <f>Z23</f>
        <v>0</v>
      </c>
      <c r="K79" s="64"/>
      <c r="L79" s="61" t="s">
        <v>119</v>
      </c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4">
        <f>S23</f>
        <v>0</v>
      </c>
      <c r="AA79" s="64"/>
      <c r="AB79" s="64"/>
      <c r="AC79" s="61" t="s">
        <v>107</v>
      </c>
      <c r="AD79" s="61"/>
      <c r="AE79" s="61"/>
      <c r="AF79" s="14"/>
      <c r="AG79" s="14"/>
      <c r="AH79" s="14"/>
      <c r="AI79" s="4"/>
      <c r="AJ79" s="4"/>
      <c r="AK79" s="68" t="s">
        <v>120</v>
      </c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</row>
    <row r="80" spans="1:71" s="4" customFormat="1" ht="11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71" ht="13.5" customHeight="1" x14ac:dyDescent="0.25">
      <c r="A81" s="4">
        <v>5</v>
      </c>
      <c r="B81" s="61" t="s">
        <v>121</v>
      </c>
      <c r="C81" s="61"/>
      <c r="D81" s="61"/>
      <c r="E81" s="61"/>
      <c r="F81" s="61"/>
      <c r="G81" s="61"/>
      <c r="H81" s="61"/>
      <c r="I81" s="61"/>
      <c r="J81" s="64">
        <f>F30+F34</f>
        <v>0</v>
      </c>
      <c r="K81" s="64"/>
      <c r="L81" s="61" t="s">
        <v>122</v>
      </c>
      <c r="M81" s="61"/>
      <c r="N81" s="61" t="s">
        <v>123</v>
      </c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4">
        <f>N30</f>
        <v>0</v>
      </c>
      <c r="AA81" s="64"/>
      <c r="AB81" s="61" t="s">
        <v>124</v>
      </c>
      <c r="AC81" s="61"/>
      <c r="AD81" s="61"/>
      <c r="AE81" s="61"/>
      <c r="AF81" s="61"/>
      <c r="AG81" s="61"/>
      <c r="AH81" s="61"/>
      <c r="AI81" s="61"/>
      <c r="AJ81" s="61"/>
      <c r="AK81" s="68" t="s">
        <v>125</v>
      </c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</row>
    <row r="82" spans="1:71" s="4" customFormat="1" ht="11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71" ht="13.5" customHeight="1" x14ac:dyDescent="0.25">
      <c r="A83" s="4"/>
      <c r="B83" s="13" t="s">
        <v>126</v>
      </c>
      <c r="C83" s="64">
        <f>V30</f>
        <v>0</v>
      </c>
      <c r="D83" s="64"/>
      <c r="E83" s="61" t="s">
        <v>127</v>
      </c>
      <c r="F83" s="61"/>
      <c r="G83" s="61"/>
      <c r="H83" s="61"/>
      <c r="I83" s="61"/>
      <c r="J83" s="61"/>
      <c r="K83" s="61"/>
      <c r="L83" s="61"/>
      <c r="M83" s="61"/>
      <c r="N83" s="61"/>
      <c r="O83" s="64">
        <f>AD30</f>
        <v>0</v>
      </c>
      <c r="P83" s="64"/>
      <c r="Q83" s="61" t="s">
        <v>128</v>
      </c>
      <c r="R83" s="61"/>
      <c r="S83" s="61"/>
      <c r="T83" s="61"/>
      <c r="U83" s="61"/>
      <c r="V83" s="61"/>
      <c r="W83" s="64">
        <f>F34</f>
        <v>0</v>
      </c>
      <c r="X83" s="64"/>
      <c r="Y83" s="21" t="s">
        <v>122</v>
      </c>
      <c r="AC83" s="21"/>
      <c r="AD83" s="21"/>
      <c r="AE83" s="21"/>
      <c r="AF83" s="21"/>
      <c r="AG83" s="21"/>
      <c r="AH83" s="21"/>
      <c r="AI83" s="21"/>
      <c r="AJ83" s="21"/>
      <c r="AK83" s="68" t="s">
        <v>129</v>
      </c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</row>
    <row r="84" spans="1:71" s="4" customFormat="1" ht="11.25" customHeight="1" x14ac:dyDescent="0.25">
      <c r="A84" s="1"/>
      <c r="B84" s="1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71" ht="13.5" customHeight="1" x14ac:dyDescent="0.3">
      <c r="A85" s="16">
        <v>6</v>
      </c>
      <c r="B85" s="69" t="s">
        <v>130</v>
      </c>
      <c r="C85" s="69"/>
      <c r="D85" s="69"/>
      <c r="E85" s="69"/>
      <c r="F85" s="69"/>
      <c r="G85" s="69"/>
      <c r="H85" s="69"/>
      <c r="I85" s="69"/>
      <c r="J85" s="69"/>
      <c r="K85" s="70">
        <f>AG62</f>
        <v>0</v>
      </c>
      <c r="L85" s="70"/>
      <c r="M85" s="70"/>
      <c r="N85" s="18" t="s">
        <v>131</v>
      </c>
      <c r="O85" s="71" t="s">
        <v>132</v>
      </c>
      <c r="P85" s="72"/>
      <c r="Q85" s="72"/>
      <c r="R85" s="72"/>
      <c r="S85" s="72"/>
      <c r="T85" s="72"/>
      <c r="U85" s="72"/>
      <c r="V85" s="72"/>
      <c r="W85" s="72"/>
      <c r="X85" s="72"/>
      <c r="Y85" s="69" t="s">
        <v>133</v>
      </c>
      <c r="Z85" s="69"/>
      <c r="AA85" s="69">
        <v>43</v>
      </c>
      <c r="AB85" s="69"/>
      <c r="AC85" s="69" t="s">
        <v>134</v>
      </c>
      <c r="AD85" s="69"/>
      <c r="AE85" s="16"/>
      <c r="AF85" s="18"/>
      <c r="AG85" s="18"/>
      <c r="AH85" s="18"/>
      <c r="AI85" s="18"/>
      <c r="AJ85" s="1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</row>
    <row r="86" spans="1:71" s="4" customFormat="1" ht="11.2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</row>
    <row r="87" spans="1:71" ht="13.5" customHeight="1" x14ac:dyDescent="0.25">
      <c r="A87" s="16"/>
      <c r="B87" s="18" t="s">
        <v>135</v>
      </c>
      <c r="C87" s="18"/>
      <c r="D87" s="18"/>
      <c r="E87" s="18"/>
      <c r="F87" s="18"/>
      <c r="G87" s="18"/>
      <c r="H87" s="18"/>
      <c r="I87" s="18"/>
      <c r="J87" s="18"/>
      <c r="K87" s="18"/>
      <c r="L87" s="69"/>
      <c r="M87" s="69"/>
      <c r="N87" s="18" t="s">
        <v>136</v>
      </c>
      <c r="O87" s="18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22"/>
      <c r="AH87" s="22"/>
      <c r="AI87" s="22"/>
      <c r="AJ87" s="1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</row>
    <row r="88" spans="1:71" s="4" customFormat="1" ht="11.25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</row>
    <row r="89" spans="1:71" ht="13.5" customHeight="1" x14ac:dyDescent="0.25">
      <c r="A89" s="4">
        <v>7</v>
      </c>
      <c r="B89" s="64" t="s">
        <v>137</v>
      </c>
      <c r="C89" s="64"/>
      <c r="D89" s="64"/>
      <c r="E89" s="73">
        <f>P34</f>
        <v>0</v>
      </c>
      <c r="F89" s="73"/>
      <c r="G89" s="73"/>
      <c r="H89" s="68" t="str">
        <f>IF(E89&lt;5,"，基本正常范围。",IF(E89&lt;15,"。",IF(E89&lt;30,"。","。")))</f>
        <v>，基本正常范围。</v>
      </c>
      <c r="I89" s="68"/>
      <c r="J89" s="68"/>
      <c r="K89" s="68"/>
      <c r="L89" s="68"/>
      <c r="M89" s="68"/>
      <c r="N89" s="68"/>
      <c r="O89" s="68"/>
      <c r="P89" s="14"/>
      <c r="Q89" s="14"/>
      <c r="R89" s="21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4"/>
      <c r="AJ89" s="4"/>
      <c r="AK89" s="68" t="s">
        <v>138</v>
      </c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</row>
    <row r="90" spans="1:71" s="4" customFormat="1" ht="11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71" ht="13.5" customHeight="1" x14ac:dyDescent="0.25">
      <c r="A91" s="4">
        <v>8</v>
      </c>
      <c r="B91" s="61" t="s">
        <v>139</v>
      </c>
      <c r="C91" s="61"/>
      <c r="D91" s="61"/>
      <c r="E91" s="61"/>
      <c r="F91" s="61"/>
      <c r="G91" s="61" t="s">
        <v>140</v>
      </c>
      <c r="H91" s="61"/>
      <c r="I91" s="61" t="str">
        <f>IF(E89&lt;5,"无",IF(E89&lt;15,"轻度",IF(E89&lt;30,"中度","重度")))</f>
        <v>无</v>
      </c>
      <c r="J91" s="61"/>
      <c r="K91" s="61" t="s">
        <v>84</v>
      </c>
      <c r="L91" s="61"/>
      <c r="M91" s="61"/>
      <c r="N91" s="61"/>
      <c r="O91" s="61"/>
      <c r="P91" s="61"/>
      <c r="Q91" s="61" t="s">
        <v>141</v>
      </c>
      <c r="R91" s="61"/>
      <c r="S91" s="61" t="str">
        <f>IF(K85&lt;80%,"重度",IF(K85&lt;85%,"中度",IF(K85&lt;90%,"轻度","无")))</f>
        <v>重度</v>
      </c>
      <c r="T91" s="61"/>
      <c r="U91" s="68" t="s">
        <v>142</v>
      </c>
      <c r="V91" s="68"/>
      <c r="W91" s="68"/>
      <c r="X91" s="68"/>
      <c r="Y91" s="68"/>
      <c r="Z91" s="14"/>
      <c r="AA91" s="14"/>
      <c r="AB91" s="14"/>
      <c r="AC91" s="14"/>
      <c r="AD91" s="14"/>
      <c r="AE91" s="14"/>
      <c r="AF91" s="14"/>
      <c r="AG91" s="14"/>
      <c r="AH91" s="14"/>
      <c r="AI91" s="4"/>
      <c r="AJ91" s="4"/>
      <c r="AK91" s="21" t="s">
        <v>143</v>
      </c>
      <c r="AL91" s="21"/>
      <c r="AM91" s="21"/>
      <c r="AN91" s="21"/>
      <c r="AO91" s="21"/>
      <c r="AP91" s="21"/>
      <c r="AQ91" s="21"/>
      <c r="AR91" s="21"/>
      <c r="AS91" s="21"/>
    </row>
    <row r="92" spans="1:71" s="4" customFormat="1" ht="11.25" customHeight="1" x14ac:dyDescent="0.2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</row>
    <row r="93" spans="1:71" ht="12.45" customHeight="1" x14ac:dyDescent="0.25"/>
    <row r="94" spans="1:71" s="4" customFormat="1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4" t="s">
        <v>144</v>
      </c>
      <c r="AH94" s="64"/>
      <c r="AI94" s="64"/>
      <c r="AJ94" s="64"/>
      <c r="AK94" s="4" t="s">
        <v>145</v>
      </c>
    </row>
    <row r="95" spans="1:71" ht="12.45" customHeight="1" x14ac:dyDescent="0.25"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14"/>
      <c r="BJ95" s="14"/>
      <c r="BK95" s="14"/>
      <c r="BL95" s="14"/>
      <c r="BM95" s="14"/>
      <c r="BN95" s="14"/>
      <c r="BO95" s="14"/>
      <c r="BP95" s="14"/>
      <c r="BQ95" s="14"/>
      <c r="BR95" s="4"/>
      <c r="BS95" s="4"/>
    </row>
    <row r="96" spans="1:71" s="4" customFormat="1" ht="13.5" customHeight="1" x14ac:dyDescent="0.25">
      <c r="AF96" s="75" t="e">
        <f>LEFT(AK97, FIND(" ",AK97) - 1)</f>
        <v>#VALUE!</v>
      </c>
      <c r="AG96" s="75"/>
      <c r="AH96" s="75"/>
      <c r="AI96" s="75"/>
      <c r="AJ96" s="75"/>
      <c r="AK96" s="21" t="s">
        <v>146</v>
      </c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14"/>
      <c r="BJ96" s="14"/>
      <c r="BK96" s="14"/>
      <c r="BL96" s="14"/>
      <c r="BM96" s="14"/>
      <c r="BN96" s="14"/>
      <c r="BO96" s="14"/>
      <c r="BP96" s="14"/>
      <c r="BQ96" s="14"/>
    </row>
    <row r="97" spans="1:37" ht="12.45" customHeight="1" x14ac:dyDescent="0.25"/>
    <row r="98" spans="1:37" s="4" customFormat="1" ht="15.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7" ht="13.95" customHeight="1" x14ac:dyDescent="0.25"/>
    <row r="100" spans="1:37" ht="13.95" customHeight="1" x14ac:dyDescent="0.25"/>
    <row r="101" spans="1:37" ht="14.4" x14ac:dyDescent="0.25">
      <c r="AK101" s="23" t="s">
        <v>147</v>
      </c>
    </row>
    <row r="102" spans="1:37" ht="13.95" customHeight="1" x14ac:dyDescent="0.25">
      <c r="AK102" s="1" t="s">
        <v>148</v>
      </c>
    </row>
    <row r="103" spans="1:37" s="4" customFormat="1" ht="15.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7" ht="13.95" customHeight="1" x14ac:dyDescent="0.25"/>
    <row r="105" spans="1:37" ht="13.95" customHeight="1" x14ac:dyDescent="0.25"/>
    <row r="106" spans="1:37" ht="13.95" customHeight="1" x14ac:dyDescent="0.25"/>
    <row r="107" spans="1:37" ht="13.95" customHeight="1" x14ac:dyDescent="0.25"/>
    <row r="108" spans="1:37" ht="13.95" customHeight="1" x14ac:dyDescent="0.25"/>
    <row r="109" spans="1:37" ht="13.95" customHeight="1" x14ac:dyDescent="0.25"/>
    <row r="110" spans="1:37" ht="13.95" customHeight="1" x14ac:dyDescent="0.25"/>
    <row r="111" spans="1:37" ht="13.95" customHeight="1" x14ac:dyDescent="0.25"/>
    <row r="112" spans="1:37" ht="13.95" customHeight="1" x14ac:dyDescent="0.25"/>
    <row r="113" ht="13.95" customHeight="1" x14ac:dyDescent="0.25"/>
    <row r="114" ht="13.95" customHeight="1" x14ac:dyDescent="0.25"/>
  </sheetData>
  <mergeCells count="338">
    <mergeCell ref="D56:H57"/>
    <mergeCell ref="I56:M57"/>
    <mergeCell ref="N56:R57"/>
    <mergeCell ref="A56:C57"/>
    <mergeCell ref="S56:U57"/>
    <mergeCell ref="AG59:AJ61"/>
    <mergeCell ref="K36:L37"/>
    <mergeCell ref="P30:R31"/>
    <mergeCell ref="X30:Z31"/>
    <mergeCell ref="A50:C51"/>
    <mergeCell ref="AH50:AJ51"/>
    <mergeCell ref="D50:H51"/>
    <mergeCell ref="I50:M51"/>
    <mergeCell ref="N50:R51"/>
    <mergeCell ref="S50:X51"/>
    <mergeCell ref="D26:F27"/>
    <mergeCell ref="G26:I27"/>
    <mergeCell ref="J26:L27"/>
    <mergeCell ref="M26:O27"/>
    <mergeCell ref="A68:AJ69"/>
    <mergeCell ref="S9:Z10"/>
    <mergeCell ref="S11:Z12"/>
    <mergeCell ref="S13:Z14"/>
    <mergeCell ref="S15:Z16"/>
    <mergeCell ref="AA9:AD10"/>
    <mergeCell ref="AA11:AD12"/>
    <mergeCell ref="AA13:AD14"/>
    <mergeCell ref="AA15:AD16"/>
    <mergeCell ref="H34:J35"/>
    <mergeCell ref="H36:J37"/>
    <mergeCell ref="P32:R33"/>
    <mergeCell ref="X32:Z33"/>
    <mergeCell ref="K34:L35"/>
    <mergeCell ref="F34:G37"/>
    <mergeCell ref="A17:L18"/>
    <mergeCell ref="M17:R18"/>
    <mergeCell ref="AE17:AJ18"/>
    <mergeCell ref="S17:Z18"/>
    <mergeCell ref="AA17:AD18"/>
    <mergeCell ref="AA30:AB31"/>
    <mergeCell ref="AI30:AJ31"/>
    <mergeCell ref="A22:C25"/>
    <mergeCell ref="D22:F25"/>
    <mergeCell ref="G22:I25"/>
    <mergeCell ref="J22:L25"/>
    <mergeCell ref="M22:O25"/>
    <mergeCell ref="A9:H10"/>
    <mergeCell ref="A11:H12"/>
    <mergeCell ref="A13:H14"/>
    <mergeCell ref="A15:H16"/>
    <mergeCell ref="I9:L10"/>
    <mergeCell ref="I11:L12"/>
    <mergeCell ref="I13:L14"/>
    <mergeCell ref="I15:L16"/>
    <mergeCell ref="M13:R14"/>
    <mergeCell ref="AE13:AJ14"/>
    <mergeCell ref="M15:R16"/>
    <mergeCell ref="AE15:AJ16"/>
    <mergeCell ref="M9:R10"/>
    <mergeCell ref="AE9:AJ10"/>
    <mergeCell ref="M11:R12"/>
    <mergeCell ref="AE11:AJ12"/>
    <mergeCell ref="A26:C27"/>
    <mergeCell ref="A92:AJ92"/>
    <mergeCell ref="AG94:AJ94"/>
    <mergeCell ref="AF96:AJ96"/>
    <mergeCell ref="E30:E33"/>
    <mergeCell ref="E34:E37"/>
    <mergeCell ref="M30:M33"/>
    <mergeCell ref="U30:U33"/>
    <mergeCell ref="AC30:AC33"/>
    <mergeCell ref="AA34:AC37"/>
    <mergeCell ref="AD34:AF35"/>
    <mergeCell ref="AD36:AF37"/>
    <mergeCell ref="M34:O37"/>
    <mergeCell ref="P34:R37"/>
    <mergeCell ref="S34:V35"/>
    <mergeCell ref="W34:Z35"/>
    <mergeCell ref="S36:V37"/>
    <mergeCell ref="W36:Z37"/>
    <mergeCell ref="AG34:AJ35"/>
    <mergeCell ref="AG36:AJ37"/>
    <mergeCell ref="A34:D37"/>
    <mergeCell ref="A60:D61"/>
    <mergeCell ref="E60:H61"/>
    <mergeCell ref="I60:L61"/>
    <mergeCell ref="M60:P61"/>
    <mergeCell ref="L87:M87"/>
    <mergeCell ref="P87:AF87"/>
    <mergeCell ref="AK87:BS87"/>
    <mergeCell ref="B89:D89"/>
    <mergeCell ref="E89:G89"/>
    <mergeCell ref="H89:O89"/>
    <mergeCell ref="AK89:BS89"/>
    <mergeCell ref="B91:F91"/>
    <mergeCell ref="G91:H91"/>
    <mergeCell ref="I91:J91"/>
    <mergeCell ref="K91:P91"/>
    <mergeCell ref="Q91:R91"/>
    <mergeCell ref="S91:T91"/>
    <mergeCell ref="U91:Y91"/>
    <mergeCell ref="C83:D83"/>
    <mergeCell ref="E83:N83"/>
    <mergeCell ref="O83:P83"/>
    <mergeCell ref="Q83:V83"/>
    <mergeCell ref="W83:X83"/>
    <mergeCell ref="AK83:BS83"/>
    <mergeCell ref="B85:J85"/>
    <mergeCell ref="K85:M85"/>
    <mergeCell ref="O85:X85"/>
    <mergeCell ref="Y85:Z85"/>
    <mergeCell ref="AA85:AB85"/>
    <mergeCell ref="AC85:AD85"/>
    <mergeCell ref="AK85:BS85"/>
    <mergeCell ref="B79:I79"/>
    <mergeCell ref="J79:K79"/>
    <mergeCell ref="L79:Y79"/>
    <mergeCell ref="Z79:AB79"/>
    <mergeCell ref="AC79:AE79"/>
    <mergeCell ref="AK79:BS79"/>
    <mergeCell ref="B81:I81"/>
    <mergeCell ref="J81:K81"/>
    <mergeCell ref="L81:M81"/>
    <mergeCell ref="N81:Y81"/>
    <mergeCell ref="Z81:AA81"/>
    <mergeCell ref="AB81:AJ81"/>
    <mergeCell ref="AK81:BS81"/>
    <mergeCell ref="B77:K77"/>
    <mergeCell ref="L77:M77"/>
    <mergeCell ref="N77:P77"/>
    <mergeCell ref="R77:S77"/>
    <mergeCell ref="T77:V77"/>
    <mergeCell ref="X77:Y77"/>
    <mergeCell ref="Z77:AB77"/>
    <mergeCell ref="AD77:AF77"/>
    <mergeCell ref="AG77:AI77"/>
    <mergeCell ref="B73:G73"/>
    <mergeCell ref="H73:J73"/>
    <mergeCell ref="K73:T73"/>
    <mergeCell ref="U73:W73"/>
    <mergeCell ref="X73:Z73"/>
    <mergeCell ref="B75:G75"/>
    <mergeCell ref="H75:J75"/>
    <mergeCell ref="K75:R75"/>
    <mergeCell ref="S75:V75"/>
    <mergeCell ref="A66:H66"/>
    <mergeCell ref="I66:R66"/>
    <mergeCell ref="S66:AB66"/>
    <mergeCell ref="AC66:AJ66"/>
    <mergeCell ref="B71:D71"/>
    <mergeCell ref="E71:H71"/>
    <mergeCell ref="I71:L71"/>
    <mergeCell ref="M71:P71"/>
    <mergeCell ref="Q71:U71"/>
    <mergeCell ref="A65:D65"/>
    <mergeCell ref="E65:H65"/>
    <mergeCell ref="I65:L65"/>
    <mergeCell ref="M65:P65"/>
    <mergeCell ref="Q65:T65"/>
    <mergeCell ref="U65:X65"/>
    <mergeCell ref="Y65:AB65"/>
    <mergeCell ref="AC65:AF65"/>
    <mergeCell ref="AG65:AJ65"/>
    <mergeCell ref="A64:D64"/>
    <mergeCell ref="E64:H64"/>
    <mergeCell ref="I64:L64"/>
    <mergeCell ref="M64:P64"/>
    <mergeCell ref="Q64:T64"/>
    <mergeCell ref="U64:X64"/>
    <mergeCell ref="Y64:AB64"/>
    <mergeCell ref="AC64:AF64"/>
    <mergeCell ref="AG64:AJ64"/>
    <mergeCell ref="AG62:AJ62"/>
    <mergeCell ref="A63:D63"/>
    <mergeCell ref="E63:H63"/>
    <mergeCell ref="I63:L63"/>
    <mergeCell ref="M63:P63"/>
    <mergeCell ref="Q63:T63"/>
    <mergeCell ref="U63:X63"/>
    <mergeCell ref="Y63:AB63"/>
    <mergeCell ref="AC63:AF63"/>
    <mergeCell ref="AG63:AJ63"/>
    <mergeCell ref="A59:AF59"/>
    <mergeCell ref="A62:D62"/>
    <mergeCell ref="E62:H62"/>
    <mergeCell ref="I62:L62"/>
    <mergeCell ref="M62:P62"/>
    <mergeCell ref="Q62:T62"/>
    <mergeCell ref="U62:X62"/>
    <mergeCell ref="Y62:AB62"/>
    <mergeCell ref="AC62:AF62"/>
    <mergeCell ref="Q60:T61"/>
    <mergeCell ref="U60:X61"/>
    <mergeCell ref="Y60:AB61"/>
    <mergeCell ref="AC60:AF61"/>
    <mergeCell ref="V56:X56"/>
    <mergeCell ref="Y56:AA56"/>
    <mergeCell ref="AB56:AD56"/>
    <mergeCell ref="AE56:AG56"/>
    <mergeCell ref="AH56:AJ56"/>
    <mergeCell ref="V57:X57"/>
    <mergeCell ref="Y57:AA57"/>
    <mergeCell ref="AB57:AD57"/>
    <mergeCell ref="AE57:AG57"/>
    <mergeCell ref="AH57:AJ57"/>
    <mergeCell ref="A55:C55"/>
    <mergeCell ref="D55:H55"/>
    <mergeCell ref="I55:M55"/>
    <mergeCell ref="N55:R55"/>
    <mergeCell ref="V55:X55"/>
    <mergeCell ref="Y55:AA55"/>
    <mergeCell ref="AB55:AD55"/>
    <mergeCell ref="AE55:AG55"/>
    <mergeCell ref="AH55:AJ55"/>
    <mergeCell ref="S54:U55"/>
    <mergeCell ref="A54:C54"/>
    <mergeCell ref="D54:H54"/>
    <mergeCell ref="I54:M54"/>
    <mergeCell ref="N54:R54"/>
    <mergeCell ref="V54:X54"/>
    <mergeCell ref="Y54:AA54"/>
    <mergeCell ref="AB54:AD54"/>
    <mergeCell ref="AE54:AG54"/>
    <mergeCell ref="AH54:AJ54"/>
    <mergeCell ref="A53:C53"/>
    <mergeCell ref="D53:H53"/>
    <mergeCell ref="I53:M53"/>
    <mergeCell ref="N53:R53"/>
    <mergeCell ref="V53:X53"/>
    <mergeCell ref="Y53:AA53"/>
    <mergeCell ref="AB53:AD53"/>
    <mergeCell ref="AE53:AG53"/>
    <mergeCell ref="AH53:AJ53"/>
    <mergeCell ref="S52:U53"/>
    <mergeCell ref="A49:R49"/>
    <mergeCell ref="S49:AJ49"/>
    <mergeCell ref="Y50:AG50"/>
    <mergeCell ref="Y51:AA51"/>
    <mergeCell ref="AB51:AD51"/>
    <mergeCell ref="AE51:AG51"/>
    <mergeCell ref="A52:C52"/>
    <mergeCell ref="D52:H52"/>
    <mergeCell ref="I52:M52"/>
    <mergeCell ref="N52:R52"/>
    <mergeCell ref="V52:X52"/>
    <mergeCell ref="Y52:AA52"/>
    <mergeCell ref="AB52:AD52"/>
    <mergeCell ref="AE52:AG52"/>
    <mergeCell ref="AH52:AJ52"/>
    <mergeCell ref="A43:N43"/>
    <mergeCell ref="O43:U43"/>
    <mergeCell ref="V43:AC43"/>
    <mergeCell ref="AD43:AJ43"/>
    <mergeCell ref="A44:N44"/>
    <mergeCell ref="O44:U44"/>
    <mergeCell ref="V44:AC44"/>
    <mergeCell ref="AD44:AJ44"/>
    <mergeCell ref="A46:AJ46"/>
    <mergeCell ref="A29:AJ29"/>
    <mergeCell ref="A39:AJ39"/>
    <mergeCell ref="A40:F40"/>
    <mergeCell ref="G40:L40"/>
    <mergeCell ref="M40:R40"/>
    <mergeCell ref="S40:X40"/>
    <mergeCell ref="Y40:AD40"/>
    <mergeCell ref="AE40:AJ40"/>
    <mergeCell ref="A42:AJ42"/>
    <mergeCell ref="K32:L33"/>
    <mergeCell ref="S32:T33"/>
    <mergeCell ref="AA32:AB33"/>
    <mergeCell ref="AI32:AJ33"/>
    <mergeCell ref="H30:J31"/>
    <mergeCell ref="AF30:AH31"/>
    <mergeCell ref="H32:J33"/>
    <mergeCell ref="AF32:AH33"/>
    <mergeCell ref="F30:G33"/>
    <mergeCell ref="N30:O33"/>
    <mergeCell ref="V30:W33"/>
    <mergeCell ref="AD30:AE33"/>
    <mergeCell ref="A30:D33"/>
    <mergeCell ref="K30:L31"/>
    <mergeCell ref="S30:T31"/>
    <mergeCell ref="P26:R26"/>
    <mergeCell ref="S26:Y26"/>
    <mergeCell ref="Z26:AB26"/>
    <mergeCell ref="AC26:AF26"/>
    <mergeCell ref="AG26:AJ26"/>
    <mergeCell ref="P27:R27"/>
    <mergeCell ref="S27:Y27"/>
    <mergeCell ref="Z27:AB27"/>
    <mergeCell ref="AC27:AF27"/>
    <mergeCell ref="AG27:AJ27"/>
    <mergeCell ref="P24:R24"/>
    <mergeCell ref="S24:Y24"/>
    <mergeCell ref="Z24:AB24"/>
    <mergeCell ref="AC24:AF24"/>
    <mergeCell ref="AG24:AJ24"/>
    <mergeCell ref="P25:R25"/>
    <mergeCell ref="S25:Y25"/>
    <mergeCell ref="Z25:AB25"/>
    <mergeCell ref="AC25:AF25"/>
    <mergeCell ref="AG25:AJ25"/>
    <mergeCell ref="A21:O21"/>
    <mergeCell ref="P21:AJ21"/>
    <mergeCell ref="P22:R22"/>
    <mergeCell ref="S22:Y22"/>
    <mergeCell ref="Z22:AB22"/>
    <mergeCell ref="AC22:AF22"/>
    <mergeCell ref="AG22:AJ22"/>
    <mergeCell ref="P23:R23"/>
    <mergeCell ref="S23:Y23"/>
    <mergeCell ref="Z23:AB23"/>
    <mergeCell ref="AC23:AF23"/>
    <mergeCell ref="AG23:AJ23"/>
    <mergeCell ref="A7:C7"/>
    <mergeCell ref="D7:F7"/>
    <mergeCell ref="K7:M7"/>
    <mergeCell ref="N7:R7"/>
    <mergeCell ref="S7:V7"/>
    <mergeCell ref="W7:AA7"/>
    <mergeCell ref="AB7:AE7"/>
    <mergeCell ref="AF7:AJ7"/>
    <mergeCell ref="A19:AJ19"/>
    <mergeCell ref="G6:I8"/>
    <mergeCell ref="A1:AJ1"/>
    <mergeCell ref="A3:AJ3"/>
    <mergeCell ref="A5:C5"/>
    <mergeCell ref="D5:G5"/>
    <mergeCell ref="H5:J5"/>
    <mergeCell ref="K5:M5"/>
    <mergeCell ref="N5:P5"/>
    <mergeCell ref="Q5:S5"/>
    <mergeCell ref="T5:V5"/>
    <mergeCell ref="W5:Y5"/>
    <mergeCell ref="Z5:AA5"/>
    <mergeCell ref="AC5:AE5"/>
    <mergeCell ref="AF5:AH5"/>
    <mergeCell ref="AI5:AJ5"/>
  </mergeCells>
  <phoneticPr fontId="14" type="noConversion"/>
  <dataValidations count="4">
    <dataValidation type="list" allowBlank="1" showInputMessage="1" showErrorMessage="1" sqref="K5:M5" xr:uid="{00000000-0002-0000-0000-000000000000}">
      <formula1>"男,女"</formula1>
    </dataValidation>
    <dataValidation type="list" allowBlank="1" showInputMessage="1" showErrorMessage="1" sqref="O86:W86 O88:W88" xr:uid="{00000000-0002-0000-0000-000001000000}">
      <formula1>"血氧波动正常范围。,为阻塞性低通气，,为阻塞性呼吸暂停，,为中枢性呼吸暂停，"</formula1>
    </dataValidation>
    <dataValidation type="list" allowBlank="1" showInputMessage="1" showErrorMessage="1" sqref="O85" xr:uid="{00000000-0002-0000-0000-000002000000}">
      <formula1>"血氧波动正常范围。,为阻塞性低通气，,为阻塞性睡眠呼吸暂停，,为混合性睡眠呼吸暂停，,为中枢性睡眠呼吸暂停，,为中枢性低通气，"</formula1>
    </dataValidation>
    <dataValidation type="list" allowBlank="1" showInputMessage="1" showErrorMessage="1" sqref="AG94:AJ94" xr:uid="{00000000-0002-0000-0000-000003000000}">
      <formula1>"姚  瀛,吴碧雯"</formula1>
    </dataValidation>
  </dataValidations>
  <pageMargins left="0.59055118110236204" right="0.59055118110236204" top="0.51" bottom="0.91" header="0.12" footer="0.1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148</vt:i4>
      </vt:variant>
    </vt:vector>
  </HeadingPairs>
  <TitlesOfParts>
    <vt:vector size="149" baseType="lpstr">
      <vt:lpstr>Sheet1</vt:lpstr>
      <vt:lpstr>Age</vt:lpstr>
      <vt:lpstr>ApneaAndHypopneaIndex</vt:lpstr>
      <vt:lpstr>ApneaIndex</vt:lpstr>
      <vt:lpstr>ApneaNREMTotalCount</vt:lpstr>
      <vt:lpstr>ApneaREMTotalCount</vt:lpstr>
      <vt:lpstr>ApneaTotalCount</vt:lpstr>
      <vt:lpstr>AveBloodOxygenTST</vt:lpstr>
      <vt:lpstr>AverageSleepHeartRate</vt:lpstr>
      <vt:lpstr>AwakeningTimes</vt:lpstr>
      <vt:lpstr>AwakenPeriodicalBodyMovementCount</vt:lpstr>
      <vt:lpstr>AwakenPeriodicalBodyMovementIndex</vt:lpstr>
      <vt:lpstr>CentralApneaNREMTotalCount</vt:lpstr>
      <vt:lpstr>CentralApneaREMTotalCount</vt:lpstr>
      <vt:lpstr>CentralApneaTotalCount</vt:lpstr>
      <vt:lpstr>CurrentDateTime</vt:lpstr>
      <vt:lpstr>DoctorName</vt:lpstr>
      <vt:lpstr>Gender</vt:lpstr>
      <vt:lpstr>Height</vt:lpstr>
      <vt:lpstr>HypopneaIndex</vt:lpstr>
      <vt:lpstr>HypopneaNREMTotalCount</vt:lpstr>
      <vt:lpstr>HypopneaREMTotalCount</vt:lpstr>
      <vt:lpstr>HypopneaTotalCount</vt:lpstr>
      <vt:lpstr>LateralSleepDesatThan100</vt:lpstr>
      <vt:lpstr>LateralSleepDesatThan40</vt:lpstr>
      <vt:lpstr>LateralSleepDesatThan50</vt:lpstr>
      <vt:lpstr>LateralSleepDesatThan60</vt:lpstr>
      <vt:lpstr>LateralSleepDesatThan70</vt:lpstr>
      <vt:lpstr>LateralSleepDesatThan80</vt:lpstr>
      <vt:lpstr>LateralSleepDesatThan90</vt:lpstr>
      <vt:lpstr>LateralTimesInN1SleepTime</vt:lpstr>
      <vt:lpstr>LateralTimesInN2SleepTime</vt:lpstr>
      <vt:lpstr>LateralTimesInN3SleepTime</vt:lpstr>
      <vt:lpstr>LateralTimesInREMSleepTime</vt:lpstr>
      <vt:lpstr>LateralTimesInTotalSleepTime</vt:lpstr>
      <vt:lpstr>LightOffTime</vt:lpstr>
      <vt:lpstr>LightOnTime</vt:lpstr>
      <vt:lpstr>MaxHypopneaDuration</vt:lpstr>
      <vt:lpstr>MaxSleepHeartRate</vt:lpstr>
      <vt:lpstr>MinBloodOxygenTST</vt:lpstr>
      <vt:lpstr>MinLimitBloodOxygenDuration</vt:lpstr>
      <vt:lpstr>MinSleepHeartRate</vt:lpstr>
      <vt:lpstr>MinSpo2ValueOnLateral</vt:lpstr>
      <vt:lpstr>MinSpo2ValueOnProstrate</vt:lpstr>
      <vt:lpstr>MinSpo2ValueOnUp</vt:lpstr>
      <vt:lpstr>MixedApneaNREMTotalCount</vt:lpstr>
      <vt:lpstr>MixedApneaREMTotalCount</vt:lpstr>
      <vt:lpstr>MixedApneaTotalCount</vt:lpstr>
      <vt:lpstr>N1CountInSleepTime</vt:lpstr>
      <vt:lpstr>N1OfSleepDuration</vt:lpstr>
      <vt:lpstr>N1OfSleepPeriodTimePencent</vt:lpstr>
      <vt:lpstr>N1OfSleepTotalTimePencent</vt:lpstr>
      <vt:lpstr>N2CountInSleepTime</vt:lpstr>
      <vt:lpstr>N2OfSleepDuration</vt:lpstr>
      <vt:lpstr>N2OfSleepPeriodTimePencent</vt:lpstr>
      <vt:lpstr>N2OfSleepTotalTimePencent</vt:lpstr>
      <vt:lpstr>N3CountInSleepTime</vt:lpstr>
      <vt:lpstr>N3OfSleepDuration</vt:lpstr>
      <vt:lpstr>N3OfSleepPeriodTimePencent</vt:lpstr>
      <vt:lpstr>N3OfSleepTotalTimePencent</vt:lpstr>
      <vt:lpstr>NREMLateralSleepCA</vt:lpstr>
      <vt:lpstr>NREMLateralSleepHYP</vt:lpstr>
      <vt:lpstr>NREMLateralSleepMA</vt:lpstr>
      <vt:lpstr>NREMLateralSleepOA</vt:lpstr>
      <vt:lpstr>NREMProstrateSleepCA</vt:lpstr>
      <vt:lpstr>NREMProstrateSleepHYP</vt:lpstr>
      <vt:lpstr>NREMProstrateSleepMA</vt:lpstr>
      <vt:lpstr>NREMProstrateSleepOA</vt:lpstr>
      <vt:lpstr>NREMUpSleepCA</vt:lpstr>
      <vt:lpstr>NREMUpSleepHYP</vt:lpstr>
      <vt:lpstr>NREMUpSleepMA</vt:lpstr>
      <vt:lpstr>NREMUpSleepOA</vt:lpstr>
      <vt:lpstr>ObstructiveApneaNREMTotalCount</vt:lpstr>
      <vt:lpstr>ObstructiveApneaREMTotalCount</vt:lpstr>
      <vt:lpstr>ObstructiveApneaTotalCount</vt:lpstr>
      <vt:lpstr>OxygenReduceIndex</vt:lpstr>
      <vt:lpstr>PatientName</vt:lpstr>
      <vt:lpstr>PatientNo</vt:lpstr>
      <vt:lpstr>PeriodicalBodyMovementCount</vt:lpstr>
      <vt:lpstr>PeriodicalBodyMovementIndex</vt:lpstr>
      <vt:lpstr>ProstrateSleepDesatThan100</vt:lpstr>
      <vt:lpstr>ProstrateSleepDesatThan40</vt:lpstr>
      <vt:lpstr>ProstrateSleepDesatThan50</vt:lpstr>
      <vt:lpstr>ProstrateSleepDesatThan60</vt:lpstr>
      <vt:lpstr>ProstrateSleepDesatThan70</vt:lpstr>
      <vt:lpstr>ProstrateSleepDesatThan80</vt:lpstr>
      <vt:lpstr>ProstrateSleepDesatThan90</vt:lpstr>
      <vt:lpstr>ProstrateTimesInN1SleepTime</vt:lpstr>
      <vt:lpstr>ProstrateTimesInN2SleepTime</vt:lpstr>
      <vt:lpstr>ProstrateTimesInN3SleepTime</vt:lpstr>
      <vt:lpstr>ProstrateTimesInREMSleepTime</vt:lpstr>
      <vt:lpstr>ProstrateTimesInTotalSleepTime</vt:lpstr>
      <vt:lpstr>RecordTime</vt:lpstr>
      <vt:lpstr>REMCountInSleepTime</vt:lpstr>
      <vt:lpstr>REMLateralSleepCA</vt:lpstr>
      <vt:lpstr>REMLateralSleepHYP</vt:lpstr>
      <vt:lpstr>REMLateralSleepMA</vt:lpstr>
      <vt:lpstr>REMLateralSleepOA</vt:lpstr>
      <vt:lpstr>REMOfSleepDuration</vt:lpstr>
      <vt:lpstr>REMOfSleepPeriodTimePencent</vt:lpstr>
      <vt:lpstr>REMOfSleepTotalTimePencent</vt:lpstr>
      <vt:lpstr>REMProstrateSleepCA</vt:lpstr>
      <vt:lpstr>REMProstrateSleepHYP</vt:lpstr>
      <vt:lpstr>REMProstrateSleepMA</vt:lpstr>
      <vt:lpstr>REMProstrateSleepOA</vt:lpstr>
      <vt:lpstr>REMUpSleepCA</vt:lpstr>
      <vt:lpstr>REMUpSleepHYP</vt:lpstr>
      <vt:lpstr>REMUpSleepMA</vt:lpstr>
      <vt:lpstr>REMUpSleepOA</vt:lpstr>
      <vt:lpstr>RERAIndex</vt:lpstr>
      <vt:lpstr>RERATotalCount</vt:lpstr>
      <vt:lpstr>SleepEfficiency</vt:lpstr>
      <vt:lpstr>SleepLatencyTimesFromLightOn</vt:lpstr>
      <vt:lpstr>SleepPeriodTime</vt:lpstr>
      <vt:lpstr>StagePhotoPath</vt:lpstr>
      <vt:lpstr>strMinBloodOxygenTSTBreathEventTyp</vt:lpstr>
      <vt:lpstr>strMinHypopneaBloodOxygen</vt:lpstr>
      <vt:lpstr>strN1SleepLatencyFromLightOn</vt:lpstr>
      <vt:lpstr>strN2SleepLatencyFromLightOn</vt:lpstr>
      <vt:lpstr>strN3SleepLatencyFromLightOn</vt:lpstr>
      <vt:lpstr>strREMSleepLatencyFromLightOn</vt:lpstr>
      <vt:lpstr>strSleepLatencyFromSleepOnset</vt:lpstr>
      <vt:lpstr>TimeInBed</vt:lpstr>
      <vt:lpstr>TotalBloodOxygenLowThan40</vt:lpstr>
      <vt:lpstr>TotalBloodOxygenLowThan50</vt:lpstr>
      <vt:lpstr>TotalBloodOxygenLowThan60</vt:lpstr>
      <vt:lpstr>TotalBloodOxygenLowThan70</vt:lpstr>
      <vt:lpstr>TotalBloodOxygenLowThan80</vt:lpstr>
      <vt:lpstr>TotalBloodOxygenLowThan90</vt:lpstr>
      <vt:lpstr>TotalBloodOxygenLowThan98</vt:lpstr>
      <vt:lpstr>TotalRecordTime</vt:lpstr>
      <vt:lpstr>TotalSleepTime</vt:lpstr>
      <vt:lpstr>UpSleepDesatThan100</vt:lpstr>
      <vt:lpstr>UpSleepDesatThan40</vt:lpstr>
      <vt:lpstr>UpSleepDesatThan50</vt:lpstr>
      <vt:lpstr>UpSleepDesatThan60</vt:lpstr>
      <vt:lpstr>UpSleepDesatThan70</vt:lpstr>
      <vt:lpstr>UpSleepDesatThan80</vt:lpstr>
      <vt:lpstr>UpSleepDesatThan90</vt:lpstr>
      <vt:lpstr>UpTimesInN1SleepTime</vt:lpstr>
      <vt:lpstr>UpTimesInN2SleepTime</vt:lpstr>
      <vt:lpstr>UpTimesInN3SleepTime</vt:lpstr>
      <vt:lpstr>UpTimesInREMSleepTime</vt:lpstr>
      <vt:lpstr>UpTimesInTotalSleepTime</vt:lpstr>
      <vt:lpstr>WakeAfterSleepTimes</vt:lpstr>
      <vt:lpstr>WeekCountInSleepTime</vt:lpstr>
      <vt:lpstr>Weight</vt:lpstr>
      <vt:lpstr>WKOfSleepDuration</vt:lpstr>
      <vt:lpstr>WKOfSleepPeriodTimePencent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simpleAj</cp:lastModifiedBy>
  <cp:lastPrinted>2018-08-06T13:24:00Z</cp:lastPrinted>
  <dcterms:created xsi:type="dcterms:W3CDTF">2006-09-13T11:21:00Z</dcterms:created>
  <dcterms:modified xsi:type="dcterms:W3CDTF">2021-12-24T03:13:28Z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B74D026EFDB24D55BB22BF76CEF0A1EA</vt:lpwstr>
  </property>
</Properties>
</file>