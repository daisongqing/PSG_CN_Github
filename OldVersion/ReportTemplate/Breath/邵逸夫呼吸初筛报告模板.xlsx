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9"/>
  <workbookPr/>
  <mc:AlternateContent xmlns:mc="http://schemas.openxmlformats.org/markup-compatibility/2006">
    <mc:Choice Requires="x15">
      <x15ac:absPath xmlns:x15ac="http://schemas.microsoft.com/office/spreadsheetml/2010/11/ac" url="E:\jobDir\physio\gitProject\physioClient\physioTotalClient\src\AwareTec.Polysmith.UI.Standalone\bin\Release\ReportTemplate\Breath\"/>
    </mc:Choice>
  </mc:AlternateContent>
  <xr:revisionPtr revIDLastSave="0" documentId="13_ncr:1_{F2B61365-C60D-4100-B771-23DD5BCA281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报告页" sheetId="4" r:id="rId1"/>
    <sheet name="附页" sheetId="5" r:id="rId2"/>
  </sheets>
  <definedNames>
    <definedName name="Age">附页!$Q$5:$S$5</definedName>
    <definedName name="ApneaAndHypopneaCount">附页!$AI$20:$AJ$20</definedName>
    <definedName name="ApneaAndHypopneaIndex">附页!$AH$10:$AJ$10</definedName>
    <definedName name="ApneaAndHypopneaTotalTimes">附页!$AE$20:$AH$20</definedName>
    <definedName name="ApneaIndex">附页!$G$21:$J$21</definedName>
    <definedName name="ApneaTotalCount">附页!$H$12:$I$12</definedName>
    <definedName name="ApneaTotalTimes">附页!$Q$12:$T$12</definedName>
    <definedName name="ApneaTurbidIndex">附页!$Y$21:$AA$21</definedName>
    <definedName name="AveBloodOxygenTIB">附页!$AB$24:$AC$24</definedName>
    <definedName name="AveBloodOxygenWake">附页!$D$24:$E$24</definedName>
    <definedName name="AverageSleepHeartRate">附页!$AE$33:$AJ$33</definedName>
    <definedName name="BMI">附页!$D$7:$F$7</definedName>
    <definedName name="CentralApneaTotalCount">附页!$W$20:$X$20</definedName>
    <definedName name="CentralApneaTotalTimes">附页!$S$20:$V$20</definedName>
    <definedName name="CurrentDateTime">附页!$AK$49:$AK$49</definedName>
    <definedName name="DoctorName">附页!$AG$47:$AJ$47</definedName>
    <definedName name="Gender">附页!$K$5:$M$5</definedName>
    <definedName name="Height">附页!$W$5:$Y$5</definedName>
    <definedName name="HypopneaIndex">附页!$P$21:$R$21</definedName>
    <definedName name="HypopneaTotalCount">附页!$K$20:$L$20</definedName>
    <definedName name="HypopneaTotalTimes">附页!$G$20:$J$20</definedName>
    <definedName name="LateralSleepAHTotalCount">附页!$AI$17:$AJ$17</definedName>
    <definedName name="LateralSleepAHTotalTimes">附页!$AE$17:$AH$17</definedName>
    <definedName name="LateralSleepCA">附页!$W$17:$X$17</definedName>
    <definedName name="LateralSleepCATotalTimes">附页!$S$17:$V$17</definedName>
    <definedName name="LateralSleepHYP">附页!$K$17:$L$17</definedName>
    <definedName name="LateralSleepHYPTotalTimes">附页!$G$17:$J$17</definedName>
    <definedName name="LateralSleepMA">附页!$AC$17:$AD$17</definedName>
    <definedName name="LateralSleepMATotalTimes">附页!$Y$17:$AB$17</definedName>
    <definedName name="LateralSleepOA">附页!$Q$17:$R$17</definedName>
    <definedName name="LateralSleepOATotalTimes">附页!$M$17:$P$17</definedName>
    <definedName name="LateralSleepSpo2Than100TotalTimes">附页!$G$27:$K$27</definedName>
    <definedName name="LateralSleepSpo2Than40TotalTimes">附页!$AK$27</definedName>
    <definedName name="LateralSleepSpo2Than50TotalTimes">附页!$AL$27</definedName>
    <definedName name="LateralSleepSpo2Than60TotalTimes">附页!$AA$27:$AE$27</definedName>
    <definedName name="LateralSleepSpo2Than70TotalTimes">附页!$V$27:$Z$27</definedName>
    <definedName name="LateralSleepSpo2Than80TotalTimes">附页!$Q$27:$U$27</definedName>
    <definedName name="LateralSleepSpo2Than90TotalTimes">附页!$L$27:$P$27</definedName>
    <definedName name="MaxApneaDuration">附页!$R$10:$U$10</definedName>
    <definedName name="MaxBloodOxygenTIB">附页!$T$24:$U$24</definedName>
    <definedName name="MaxHypopneaDuration">附页!$Q$11:$T$11</definedName>
    <definedName name="MaxSleepHeartRate">附页!$G$33:$L$33</definedName>
    <definedName name="MinAllApneaBloodOxygen">附页!$AC$10</definedName>
    <definedName name="MinBloodOxygenTIB">附页!$M$24:$N$24</definedName>
    <definedName name="MinBloodOxygenTST">附页!$J$39:$K$39</definedName>
    <definedName name="MinHypopneaBloodOxygen">附页!$AB$11</definedName>
    <definedName name="MinSleepHeartRate">附页!$S$33:$X$33</definedName>
    <definedName name="MixedApneaTotalCount">附页!$AC$20:$AD$20</definedName>
    <definedName name="MixedApneaTotalTimes">附页!$Y$20:$AB$20</definedName>
    <definedName name="ObstructiveApneaTotalCount">附页!$Q$20:$R$20</definedName>
    <definedName name="ObstructiveApneaTotalTimes">附页!$M$20:$P$20</definedName>
    <definedName name="OxygenReduceIndex">附页!$AH$24:$AJ$24</definedName>
    <definedName name="PatientName">附页!$D$5:$G$5</definedName>
    <definedName name="PatientNo">附页!$O$7:$R$7</definedName>
    <definedName name="ProstrateSleepAHTotalCount">附页!$AI$18:$AJ$18</definedName>
    <definedName name="ProstrateSleepAHTotalTimes">附页!$AE$18:$AH$18</definedName>
    <definedName name="ProstrateSleepCA">附页!$W$18:$X$18</definedName>
    <definedName name="ProstrateSleepCATotalTimes">附页!$S$18:$V$18</definedName>
    <definedName name="ProstrateSleepHYP">附页!$K$18:$L$18</definedName>
    <definedName name="ProstrateSleepHYPTotalTimes">附页!$G$18:$J$18</definedName>
    <definedName name="ProstrateSleepMA">附页!$AC$18:$AD$18</definedName>
    <definedName name="ProstrateSleepMATotalTimes">附页!$Y$18:$AB$18</definedName>
    <definedName name="ProstrateSleepOA">附页!$Q$18:$R$18</definedName>
    <definedName name="ProstrateSleepOATotalTimes">附页!$M$18:$P$18</definedName>
    <definedName name="ProstrateSleepSpo2Than100TotalTimes">附页!$G$28:$K$28</definedName>
    <definedName name="ProstrateSleepSpo2Than40TotalTimes">附页!$AK$28</definedName>
    <definedName name="ProstrateSleepSpo2Than50TotalTimes">附页!$AL$28</definedName>
    <definedName name="ProstrateSleepSpo2Than60TotalTimes">附页!$AA$28:$AE$28</definedName>
    <definedName name="ProstrateSleepSpo2Than70TotalTimes">附页!$V$28:$Z$28</definedName>
    <definedName name="ProstrateSleepSpo2Than80TotalTimes">附页!$Q$28:$U$28</definedName>
    <definedName name="ProstrateSleepSpo2Than90TotalTimes">附页!$L$28:$P$28</definedName>
    <definedName name="RecordTime">附页!$AK$7:$AK$7</definedName>
    <definedName name="SitSleepAHTotalCount">附页!$AI$16:$AJ$16</definedName>
    <definedName name="SitSleepAHTotalTimes">附页!$AE$16:$AH$16</definedName>
    <definedName name="SitSleepCA">附页!$W$16:$X$16</definedName>
    <definedName name="SitSleepCATotalTimes">附页!$S$16:$V$16</definedName>
    <definedName name="SitSleepHYP">附页!$K$16:$L$16</definedName>
    <definedName name="SitSleepHYPTotalTimes">附页!$G$16:$J$16</definedName>
    <definedName name="SitSleepMA">附页!$AC$16:$AD$16</definedName>
    <definedName name="SitSleepMATotalTimes">附页!$Y$16:$AB$16</definedName>
    <definedName name="SitSleepOA">附页!$Q$16:$R$16</definedName>
    <definedName name="SitSleepOATotalCount">附页!$Q$16:$R$16</definedName>
    <definedName name="SitSleepOATotalTimes">附页!$M$16:$P$16</definedName>
    <definedName name="SitSleepSpo2Than100TotalTimes">附页!$G$26:$K$26</definedName>
    <definedName name="SitSleepSpo2Than40TotalTimes">附页!$AK$26</definedName>
    <definedName name="SitSleepSpo2Than50TotalTimes">附页!$AL$26</definedName>
    <definedName name="SitSleepSpo2Than60TotalTimes">附页!$AA$26:$AE$26</definedName>
    <definedName name="SitSleepSpo2Than70TotalTimes">附页!$V$26:$Z$26</definedName>
    <definedName name="SitSleepSpo2Than80TotalTimes">附页!$Q$26:$U$26</definedName>
    <definedName name="SitSleepSpo2Than90TotalTimes">附页!$L$26:$P$26</definedName>
    <definedName name="SnoreIndex">附页!$AH$21:$AJ$21</definedName>
    <definedName name="strMaxApneaDruationHappendTime">附页!$K$10:$N$10</definedName>
    <definedName name="strMaxHYPDruationHappendTime">附页!$J$11:$M$11</definedName>
    <definedName name="TotalBloodOxygenLowThan40Times">附页!$AK$30</definedName>
    <definedName name="TotalBloodOxygenLowThan50Times">附页!$AL$30</definedName>
    <definedName name="TotalBloodOxygenLowThan60Times">附页!$AA$30:$AE$30</definedName>
    <definedName name="TotalBloodOxygenLowThan70Times">附页!$V$30:$Z$30</definedName>
    <definedName name="TotalBloodOxygenLowThan80Times">附页!$Q$30:$U$30</definedName>
    <definedName name="TotalBloodOxygenLowThan90Times">附页!$L$30:$P$30</definedName>
    <definedName name="TotalBloodOxygenLowThan98Times">附页!$G$30:$K$30</definedName>
    <definedName name="TotalSleepTime">附页!$AK$13</definedName>
    <definedName name="Weight">附页!$AF$5:$AH$5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49" i="5" l="1"/>
  <c r="AF49" i="4" s="1"/>
  <c r="AF7" i="5"/>
  <c r="AF7" i="4" s="1"/>
  <c r="N43" i="5"/>
  <c r="D43" i="5"/>
  <c r="E41" i="5"/>
  <c r="H41" i="5" s="1"/>
  <c r="M39" i="5"/>
  <c r="AF30" i="5"/>
  <c r="AF28" i="5"/>
  <c r="AF28" i="4" s="1"/>
  <c r="AF27" i="5"/>
  <c r="AF26" i="5"/>
  <c r="AF26" i="4" s="1"/>
  <c r="Q13" i="5"/>
  <c r="Q13" i="4" s="1"/>
  <c r="H13" i="5"/>
  <c r="H13" i="4" s="1"/>
  <c r="Z12" i="5"/>
  <c r="D7" i="5"/>
  <c r="AG47" i="4"/>
  <c r="N43" i="4"/>
  <c r="J39" i="4"/>
  <c r="AE33" i="4"/>
  <c r="S33" i="4"/>
  <c r="G33" i="4"/>
  <c r="AF30" i="4"/>
  <c r="AA30" i="4"/>
  <c r="V30" i="4"/>
  <c r="Q30" i="4"/>
  <c r="L30" i="4"/>
  <c r="G30" i="4"/>
  <c r="AF29" i="4"/>
  <c r="AA29" i="4"/>
  <c r="V29" i="4"/>
  <c r="Q29" i="4"/>
  <c r="L29" i="4"/>
  <c r="G29" i="4"/>
  <c r="AA28" i="4"/>
  <c r="V28" i="4"/>
  <c r="Q28" i="4"/>
  <c r="L28" i="4"/>
  <c r="G28" i="4"/>
  <c r="AF27" i="4"/>
  <c r="AA27" i="4"/>
  <c r="V27" i="4"/>
  <c r="Q27" i="4"/>
  <c r="L27" i="4"/>
  <c r="G27" i="4"/>
  <c r="AA26" i="4"/>
  <c r="V26" i="4"/>
  <c r="Q26" i="4"/>
  <c r="L26" i="4"/>
  <c r="G26" i="4"/>
  <c r="AH24" i="4"/>
  <c r="AB24" i="4"/>
  <c r="T24" i="4"/>
  <c r="M24" i="4"/>
  <c r="D24" i="4"/>
  <c r="AH21" i="4"/>
  <c r="Y21" i="4"/>
  <c r="P21" i="4"/>
  <c r="G21" i="4"/>
  <c r="AE20" i="4"/>
  <c r="Y20" i="4"/>
  <c r="S20" i="4"/>
  <c r="M20" i="4"/>
  <c r="G20" i="4"/>
  <c r="AE19" i="4"/>
  <c r="Y19" i="4"/>
  <c r="S19" i="4"/>
  <c r="M19" i="4"/>
  <c r="G19" i="4"/>
  <c r="AE18" i="4"/>
  <c r="Y18" i="4"/>
  <c r="S18" i="4"/>
  <c r="M18" i="4"/>
  <c r="G18" i="4"/>
  <c r="AE17" i="4"/>
  <c r="Y17" i="4"/>
  <c r="S17" i="4"/>
  <c r="M17" i="4"/>
  <c r="G17" i="4"/>
  <c r="AE16" i="4"/>
  <c r="Y16" i="4"/>
  <c r="S16" i="4"/>
  <c r="M16" i="4"/>
  <c r="G16" i="4"/>
  <c r="Z12" i="4"/>
  <c r="Q12" i="4"/>
  <c r="H12" i="4"/>
  <c r="AB11" i="4"/>
  <c r="Q11" i="4"/>
  <c r="J11" i="4"/>
  <c r="AH10" i="4"/>
  <c r="E41" i="4" s="1"/>
  <c r="AC10" i="4"/>
  <c r="R10" i="4"/>
  <c r="K10" i="4"/>
  <c r="O7" i="4"/>
  <c r="AF5" i="4"/>
  <c r="D7" i="4" s="1"/>
  <c r="W5" i="4"/>
  <c r="Q5" i="4"/>
  <c r="K5" i="4"/>
  <c r="D5" i="4"/>
  <c r="H41" i="4" l="1"/>
  <c r="D43" i="4"/>
  <c r="Z13" i="5"/>
  <c r="Z13" i="4" s="1"/>
</calcChain>
</file>

<file path=xl/sharedStrings.xml><?xml version="1.0" encoding="utf-8"?>
<sst xmlns="http://schemas.openxmlformats.org/spreadsheetml/2006/main" count="165" uniqueCount="68">
  <si>
    <t>浙江大学医学院附属邵逸夫医院</t>
  </si>
  <si>
    <t>睡眠呼吸初筛报告</t>
  </si>
  <si>
    <t>姓名：</t>
  </si>
  <si>
    <t>性别：</t>
  </si>
  <si>
    <t>年龄：</t>
  </si>
  <si>
    <t>身高：</t>
  </si>
  <si>
    <t>cm</t>
  </si>
  <si>
    <t>体重：</t>
  </si>
  <si>
    <t>kg</t>
  </si>
  <si>
    <r>
      <rPr>
        <sz val="11"/>
        <color theme="1"/>
        <rFont val="Times New Roman"/>
        <family val="1"/>
      </rPr>
      <t>kg/m</t>
    </r>
    <r>
      <rPr>
        <vertAlign val="super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</si>
  <si>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BMI</t>
    </r>
    <r>
      <rPr>
        <sz val="11"/>
        <color theme="1"/>
        <rFont val="宋体"/>
        <charset val="134"/>
      </rPr>
      <t>：</t>
    </r>
  </si>
  <si>
    <t>病历号：</t>
  </si>
  <si>
    <t>检查号：</t>
  </si>
  <si>
    <t>检查日期：</t>
  </si>
  <si>
    <t>呼吸事件</t>
  </si>
  <si>
    <t>最长呼吸暂停发生于</t>
  </si>
  <si>
    <t>，长度</t>
  </si>
  <si>
    <t>，最低血氧饱和度为</t>
  </si>
  <si>
    <t>%</t>
  </si>
  <si>
    <t>AHI=</t>
  </si>
  <si>
    <t>最长低通气发生于</t>
  </si>
  <si>
    <t>记录中共有</t>
  </si>
  <si>
    <t>次呼吸暂停，总时间</t>
  </si>
  <si>
    <t>，占睡眠时间</t>
  </si>
  <si>
    <t>次低通气，总时间</t>
  </si>
  <si>
    <r>
      <rPr>
        <sz val="11"/>
        <color theme="1"/>
        <rFont val="宋体"/>
        <charset val="134"/>
      </rPr>
      <t>时间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charset val="134"/>
      </rPr>
      <t>次数</t>
    </r>
  </si>
  <si>
    <t>低通气</t>
  </si>
  <si>
    <t>阻塞型</t>
  </si>
  <si>
    <t>中枢型</t>
  </si>
  <si>
    <t>混合型</t>
  </si>
  <si>
    <r>
      <rPr>
        <sz val="11"/>
        <color theme="1"/>
        <rFont val="宋体"/>
        <charset val="134"/>
      </rPr>
      <t>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charset val="134"/>
      </rPr>
      <t>计</t>
    </r>
  </si>
  <si>
    <t>仰卧</t>
  </si>
  <si>
    <t>侧卧</t>
  </si>
  <si>
    <t>俯卧</t>
  </si>
  <si>
    <t>未知</t>
  </si>
  <si>
    <t>总计</t>
  </si>
  <si>
    <t>呼吸暂停指数：</t>
  </si>
  <si>
    <t>低通气指数：</t>
  </si>
  <si>
    <t>呼吸紊乱指数：</t>
  </si>
  <si>
    <t>鼾声指数：</t>
  </si>
  <si>
    <t>血氧事件</t>
  </si>
  <si>
    <t>醒时：</t>
  </si>
  <si>
    <t>最低：</t>
  </si>
  <si>
    <t>最高：</t>
  </si>
  <si>
    <t>平均：</t>
  </si>
  <si>
    <t>ODI=</t>
  </si>
  <si>
    <t>氧饱和度时间</t>
  </si>
  <si>
    <t>90%-100%</t>
  </si>
  <si>
    <t>80%-89%</t>
  </si>
  <si>
    <t>70%-79%</t>
  </si>
  <si>
    <t>60%-69%</t>
  </si>
  <si>
    <t>50%-59%</t>
  </si>
  <si>
    <t>&lt;50%</t>
  </si>
  <si>
    <t>心率事件</t>
  </si>
  <si>
    <r>
      <rPr>
        <sz val="11"/>
        <color theme="1"/>
        <rFont val="宋体"/>
        <charset val="134"/>
      </rPr>
      <t>最高心率</t>
    </r>
    <r>
      <rPr>
        <sz val="11"/>
        <color theme="1"/>
        <rFont val="Times New Roman"/>
        <family val="1"/>
      </rPr>
      <t>(bmp)</t>
    </r>
  </si>
  <si>
    <r>
      <rPr>
        <sz val="11"/>
        <color theme="1"/>
        <rFont val="宋体"/>
        <charset val="134"/>
      </rPr>
      <t>最低心率</t>
    </r>
    <r>
      <rPr>
        <sz val="11"/>
        <color theme="1"/>
        <rFont val="Times New Roman"/>
        <family val="1"/>
      </rPr>
      <t>(bmp)</t>
    </r>
  </si>
  <si>
    <r>
      <rPr>
        <sz val="11"/>
        <color theme="1"/>
        <rFont val="宋体"/>
        <charset val="134"/>
      </rPr>
      <t>平均心率</t>
    </r>
    <r>
      <rPr>
        <sz val="11"/>
        <color theme="1"/>
        <rFont val="Times New Roman"/>
        <family val="1"/>
      </rPr>
      <t>(bmp)</t>
    </r>
  </si>
  <si>
    <t>检 查 所 见</t>
  </si>
  <si>
    <t>最低血氧饱和度降至</t>
  </si>
  <si>
    <t>%。</t>
  </si>
  <si>
    <t>AHI =</t>
  </si>
  <si>
    <t>考虑</t>
  </si>
  <si>
    <t>睡眠呼吸暂停</t>
  </si>
  <si>
    <t>合并</t>
  </si>
  <si>
    <t>低氧血症。</t>
  </si>
  <si>
    <t>男</t>
  </si>
  <si>
    <t>PS21232</t>
  </si>
  <si>
    <t>吴碧雯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</si>
</sst>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_ "/>
    <numFmt numFmtId="178" formatCode="hh:mm:ss"/>
    <numFmt numFmtId="179" formatCode="yyyy/mm/dd;@"/>
    <numFmt numFmtId="180" formatCode="yyyy\-mm\-dd;@"/>
  </numFmts>
  <fonts count="15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b/>
      <sz val="11"/>
      <color theme="1"/>
      <name val="Times New Roman"/>
      <family val="1"/>
    </font>
    <font>
      <sz val="12"/>
      <color theme="1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Times New Roman"/>
      <family val="1"/>
    </font>
    <font>
      <b/>
      <sz val="9.5"/>
      <color theme="1"/>
      <name val="宋体"/>
      <charset val="134"/>
      <scheme val="minor"/>
    </font>
    <font>
      <sz val="10"/>
      <color theme="1"/>
      <name val="宋体"/>
      <charset val="134"/>
    </font>
    <font>
      <sz val="10.5"/>
      <color theme="1"/>
      <name val="Calibri"/>
      <family val="2"/>
    </font>
    <font>
      <sz val="11"/>
      <color theme="1"/>
      <name val="宋体"/>
      <charset val="134"/>
      <scheme val="minor"/>
    </font>
    <font>
      <vertAlign val="superscript"/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3" fillId="0" borderId="3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>
      <alignment vertical="center"/>
    </xf>
    <xf numFmtId="0" fontId="4" fillId="0" borderId="7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5" xfId="0" applyFont="1" applyBorder="1">
      <alignment vertical="center"/>
    </xf>
    <xf numFmtId="9" fontId="3" fillId="0" borderId="0" xfId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4" fillId="0" borderId="0" xfId="0" applyFont="1" applyBorder="1" applyAlignment="1">
      <alignment vertical="center" wrapText="1"/>
    </xf>
    <xf numFmtId="0" fontId="0" fillId="0" borderId="8" xfId="0" applyFont="1" applyBorder="1" applyAlignment="1">
      <alignment vertical="center"/>
    </xf>
    <xf numFmtId="9" fontId="3" fillId="0" borderId="0" xfId="1" applyFont="1" applyAlignment="1">
      <alignment vertical="center"/>
    </xf>
    <xf numFmtId="0" fontId="3" fillId="0" borderId="12" xfId="0" applyFont="1" applyBorder="1">
      <alignment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7" fillId="0" borderId="12" xfId="0" applyFont="1" applyBorder="1">
      <alignment vertical="center"/>
    </xf>
    <xf numFmtId="0" fontId="4" fillId="0" borderId="12" xfId="0" applyFont="1" applyBorder="1" applyAlignment="1">
      <alignment vertical="center"/>
    </xf>
    <xf numFmtId="0" fontId="0" fillId="0" borderId="12" xfId="0" applyBorder="1">
      <alignment vertical="center"/>
    </xf>
    <xf numFmtId="0" fontId="8" fillId="0" borderId="0" xfId="0" applyFo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0" fillId="0" borderId="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3" xfId="0" applyFont="1" applyBorder="1">
      <alignment vertical="center"/>
    </xf>
    <xf numFmtId="21" fontId="0" fillId="0" borderId="0" xfId="0" applyNumberFormat="1" applyBorder="1">
      <alignment vertical="center"/>
    </xf>
    <xf numFmtId="21" fontId="9" fillId="0" borderId="0" xfId="0" applyNumberFormat="1" applyFont="1" applyBorder="1" applyAlignment="1">
      <alignment horizontal="left" vertical="center" indent="1"/>
    </xf>
    <xf numFmtId="21" fontId="10" fillId="0" borderId="0" xfId="0" applyNumberFormat="1" applyFont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10" fillId="0" borderId="0" xfId="0" applyFont="1" applyBorder="1" applyAlignment="1">
      <alignment horizontal="left" vertical="top" wrapText="1" indent="1"/>
    </xf>
    <xf numFmtId="0" fontId="10" fillId="0" borderId="0" xfId="0" applyFont="1" applyBorder="1" applyAlignment="1">
      <alignment horizontal="left" vertical="top" wrapText="1"/>
    </xf>
    <xf numFmtId="0" fontId="11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top" wrapText="1"/>
    </xf>
    <xf numFmtId="21" fontId="10" fillId="0" borderId="0" xfId="0" applyNumberFormat="1" applyFont="1" applyBorder="1" applyAlignment="1">
      <alignment horizontal="center" vertical="top" wrapText="1"/>
    </xf>
    <xf numFmtId="0" fontId="7" fillId="0" borderId="0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78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left" vertical="center"/>
    </xf>
    <xf numFmtId="177" fontId="5" fillId="0" borderId="11" xfId="0" applyNumberFormat="1" applyFont="1" applyBorder="1" applyAlignment="1">
      <alignment horizontal="left" vertical="center"/>
    </xf>
    <xf numFmtId="178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77" fontId="5" fillId="0" borderId="8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21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>
      <alignment vertical="center"/>
    </xf>
    <xf numFmtId="179" fontId="3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1" applyNumberFormat="1" applyFont="1" applyFill="1" applyBorder="1" applyAlignment="1" applyProtection="1">
      <alignment horizontal="center" vertical="center"/>
    </xf>
    <xf numFmtId="9" fontId="3" fillId="0" borderId="0" xfId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80" fontId="3" fillId="0" borderId="0" xfId="0" applyNumberFormat="1" applyFont="1" applyAlignment="1">
      <alignment horizontal="left" vertical="center"/>
    </xf>
    <xf numFmtId="180" fontId="3" fillId="0" borderId="12" xfId="0" applyNumberFormat="1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21" fontId="4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177" fontId="5" fillId="0" borderId="0" xfId="0" applyNumberFormat="1" applyFont="1" applyBorder="1" applyAlignment="1">
      <alignment horizontal="left" vertical="center"/>
    </xf>
    <xf numFmtId="177" fontId="5" fillId="0" borderId="12" xfId="0" applyNumberFormat="1" applyFont="1" applyBorder="1" applyAlignment="1">
      <alignment horizontal="left" vertical="center"/>
    </xf>
    <xf numFmtId="0" fontId="3" fillId="0" borderId="8" xfId="0" applyNumberFormat="1" applyFont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80" fontId="3" fillId="0" borderId="6" xfId="0" applyNumberFormat="1" applyFont="1" applyBorder="1" applyAlignment="1">
      <alignment horizontal="center" vertical="center"/>
    </xf>
    <xf numFmtId="180" fontId="3" fillId="0" borderId="1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80" fontId="0" fillId="0" borderId="0" xfId="0" applyNumberForma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1"/>
  <sheetViews>
    <sheetView view="pageBreakPreview" topLeftCell="A7" zoomScaleNormal="100" workbookViewId="0">
      <selection activeCell="G26" sqref="G26:K26"/>
    </sheetView>
  </sheetViews>
  <sheetFormatPr defaultColWidth="9" defaultRowHeight="13.8" x14ac:dyDescent="0.25"/>
  <cols>
    <col min="1" max="36" width="2.44140625" style="2" customWidth="1"/>
    <col min="37" max="37" width="13.77734375" style="2" customWidth="1"/>
    <col min="38" max="38" width="19.88671875" style="2" customWidth="1"/>
    <col min="39" max="39" width="15.6640625" style="2" customWidth="1"/>
    <col min="40" max="16384" width="9" style="2"/>
  </cols>
  <sheetData>
    <row r="1" spans="1:43" ht="17.399999999999999" customHeight="1" x14ac:dyDescent="0.2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/>
      <c r="AL1"/>
      <c r="AM1"/>
      <c r="AN1"/>
      <c r="AO1"/>
      <c r="AP1"/>
      <c r="AQ1"/>
    </row>
    <row r="2" spans="1:43" ht="13.95" customHeight="1" x14ac:dyDescent="0.25">
      <c r="AK2"/>
      <c r="AL2"/>
      <c r="AM2"/>
      <c r="AN2"/>
      <c r="AO2"/>
      <c r="AP2"/>
      <c r="AQ2"/>
    </row>
    <row r="3" spans="1:43" ht="19.5" customHeight="1" x14ac:dyDescent="0.25">
      <c r="A3" s="48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Q3"/>
    </row>
    <row r="4" spans="1:43" ht="13.95" customHeight="1" x14ac:dyDescent="0.25">
      <c r="AK4"/>
      <c r="AL4"/>
      <c r="AM4"/>
      <c r="AN4"/>
      <c r="AO4"/>
      <c r="AP4"/>
      <c r="AQ4"/>
    </row>
    <row r="5" spans="1:43" s="3" customFormat="1" ht="13.95" customHeight="1" x14ac:dyDescent="0.25">
      <c r="A5" s="50" t="s">
        <v>2</v>
      </c>
      <c r="B5" s="50"/>
      <c r="C5" s="50"/>
      <c r="D5" s="50">
        <f>附页!D5</f>
        <v>0</v>
      </c>
      <c r="E5" s="51"/>
      <c r="F5" s="51"/>
      <c r="G5" s="51"/>
      <c r="H5" s="50" t="s">
        <v>3</v>
      </c>
      <c r="I5" s="51"/>
      <c r="J5" s="51"/>
      <c r="K5" s="50" t="str">
        <f>附页!K5</f>
        <v>男</v>
      </c>
      <c r="L5" s="50"/>
      <c r="M5" s="50"/>
      <c r="N5" s="52" t="s">
        <v>4</v>
      </c>
      <c r="O5" s="53"/>
      <c r="P5" s="53"/>
      <c r="Q5" s="53">
        <f>附页!Q5</f>
        <v>50</v>
      </c>
      <c r="R5" s="53"/>
      <c r="S5" s="53"/>
      <c r="T5" s="54" t="s">
        <v>5</v>
      </c>
      <c r="U5" s="55"/>
      <c r="V5" s="55"/>
      <c r="W5" s="53">
        <f>附页!W5</f>
        <v>170</v>
      </c>
      <c r="X5" s="53"/>
      <c r="Y5" s="53"/>
      <c r="Z5" s="51" t="s">
        <v>6</v>
      </c>
      <c r="AA5" s="51"/>
      <c r="AC5" s="54" t="s">
        <v>7</v>
      </c>
      <c r="AD5" s="54"/>
      <c r="AE5" s="54"/>
      <c r="AF5" s="53">
        <f>附页!AF5</f>
        <v>91</v>
      </c>
      <c r="AG5" s="53"/>
      <c r="AH5" s="53"/>
      <c r="AI5" s="51" t="s">
        <v>8</v>
      </c>
      <c r="AJ5" s="51"/>
      <c r="AK5"/>
      <c r="AL5"/>
      <c r="AM5"/>
      <c r="AN5"/>
      <c r="AO5"/>
      <c r="AP5"/>
      <c r="AQ5"/>
    </row>
    <row r="6" spans="1:43" s="3" customFormat="1" ht="13.95" customHeight="1" x14ac:dyDescent="0.25">
      <c r="G6" s="94" t="s">
        <v>9</v>
      </c>
      <c r="H6" s="94"/>
      <c r="I6" s="94"/>
      <c r="AK6"/>
      <c r="AL6"/>
      <c r="AM6"/>
      <c r="AN6"/>
      <c r="AO6"/>
      <c r="AP6"/>
      <c r="AQ6"/>
    </row>
    <row r="7" spans="1:43" s="3" customFormat="1" ht="13.95" customHeight="1" x14ac:dyDescent="0.25">
      <c r="A7" s="51" t="s">
        <v>10</v>
      </c>
      <c r="B7" s="51"/>
      <c r="C7" s="51"/>
      <c r="D7" s="56">
        <f>AF5/((W5/100)*(W5/100))</f>
        <v>31.487889273356405</v>
      </c>
      <c r="E7" s="56"/>
      <c r="F7" s="56"/>
      <c r="G7" s="94"/>
      <c r="H7" s="94"/>
      <c r="I7" s="94"/>
      <c r="K7" s="52" t="s">
        <v>11</v>
      </c>
      <c r="L7" s="52"/>
      <c r="M7" s="52"/>
      <c r="N7" s="52"/>
      <c r="O7" s="51">
        <f>附页!O7</f>
        <v>6057504</v>
      </c>
      <c r="P7" s="51"/>
      <c r="Q7" s="51"/>
      <c r="R7" s="51"/>
      <c r="S7" s="54" t="s">
        <v>12</v>
      </c>
      <c r="T7" s="54"/>
      <c r="U7" s="54"/>
      <c r="V7" s="54"/>
      <c r="W7" s="51"/>
      <c r="X7" s="51"/>
      <c r="Y7" s="51"/>
      <c r="Z7" s="51"/>
      <c r="AA7" s="51"/>
      <c r="AB7" s="52" t="s">
        <v>13</v>
      </c>
      <c r="AC7" s="53"/>
      <c r="AD7" s="53"/>
      <c r="AE7" s="53"/>
      <c r="AF7" s="57" t="e">
        <f>附页!AF7</f>
        <v>#VALUE!</v>
      </c>
      <c r="AG7" s="57"/>
      <c r="AH7" s="57"/>
      <c r="AI7" s="57"/>
      <c r="AJ7" s="57"/>
      <c r="AK7"/>
      <c r="AL7"/>
      <c r="AM7"/>
      <c r="AN7"/>
      <c r="AO7"/>
      <c r="AP7"/>
      <c r="AQ7"/>
    </row>
    <row r="8" spans="1:43" ht="13.95" customHeight="1" x14ac:dyDescent="0.25">
      <c r="G8" s="94"/>
      <c r="H8" s="94"/>
      <c r="I8" s="94"/>
      <c r="AK8"/>
      <c r="AL8"/>
      <c r="AM8"/>
      <c r="AN8"/>
      <c r="AO8"/>
      <c r="AP8"/>
      <c r="AQ8"/>
    </row>
    <row r="9" spans="1:43" ht="17.100000000000001" customHeight="1" x14ac:dyDescent="0.25">
      <c r="A9" s="58" t="s">
        <v>14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/>
      <c r="AL9"/>
      <c r="AM9"/>
      <c r="AN9"/>
      <c r="AO9"/>
      <c r="AP9"/>
      <c r="AQ9" s="28"/>
    </row>
    <row r="10" spans="1:43" ht="17.100000000000001" customHeight="1" x14ac:dyDescent="0.25">
      <c r="A10" s="6"/>
      <c r="B10" s="7"/>
      <c r="C10" s="7"/>
      <c r="D10" s="60" t="s">
        <v>15</v>
      </c>
      <c r="E10" s="60"/>
      <c r="F10" s="60"/>
      <c r="G10" s="60"/>
      <c r="H10" s="60"/>
      <c r="I10" s="60"/>
      <c r="J10" s="60"/>
      <c r="K10" s="61">
        <f>附页!K10</f>
        <v>0</v>
      </c>
      <c r="L10" s="61"/>
      <c r="M10" s="61"/>
      <c r="N10" s="61"/>
      <c r="O10" s="52" t="s">
        <v>16</v>
      </c>
      <c r="P10" s="52"/>
      <c r="Q10" s="52"/>
      <c r="R10" s="62" t="str">
        <f>TEXT(附页!R10/86400,"hh:mm:ss")</f>
        <v>00:08:41</v>
      </c>
      <c r="S10" s="62"/>
      <c r="T10" s="62"/>
      <c r="U10" s="62"/>
      <c r="V10" s="62" t="s">
        <v>17</v>
      </c>
      <c r="W10" s="62"/>
      <c r="X10" s="62"/>
      <c r="Y10" s="62"/>
      <c r="Z10" s="62"/>
      <c r="AA10" s="62"/>
      <c r="AB10" s="62"/>
      <c r="AC10" s="62">
        <f>附页!AC10</f>
        <v>0</v>
      </c>
      <c r="AD10" s="62"/>
      <c r="AE10" s="35" t="s">
        <v>18</v>
      </c>
      <c r="AF10" s="63" t="s">
        <v>19</v>
      </c>
      <c r="AG10" s="63"/>
      <c r="AH10" s="64">
        <f>附页!AH10</f>
        <v>12</v>
      </c>
      <c r="AI10" s="64"/>
      <c r="AJ10" s="65"/>
      <c r="AK10" s="28"/>
      <c r="AL10" s="28"/>
      <c r="AM10" s="28"/>
      <c r="AN10" s="28"/>
      <c r="AO10" s="28"/>
      <c r="AP10" s="28"/>
      <c r="AQ10" s="28"/>
    </row>
    <row r="11" spans="1:43" ht="17.100000000000001" customHeight="1" x14ac:dyDescent="0.25">
      <c r="A11" s="6"/>
      <c r="B11" s="7"/>
      <c r="C11" s="7"/>
      <c r="D11" s="60" t="s">
        <v>20</v>
      </c>
      <c r="E11" s="60"/>
      <c r="F11" s="60"/>
      <c r="G11" s="60"/>
      <c r="H11" s="60"/>
      <c r="I11" s="60"/>
      <c r="J11" s="66">
        <f>附页!J11</f>
        <v>0</v>
      </c>
      <c r="K11" s="66"/>
      <c r="L11" s="66"/>
      <c r="M11" s="66"/>
      <c r="N11" s="62" t="s">
        <v>16</v>
      </c>
      <c r="O11" s="62"/>
      <c r="P11" s="62"/>
      <c r="Q11" s="62" t="str">
        <f>TEXT(附页!Q11/86400,"hh:mm:ss")</f>
        <v>00:00:00</v>
      </c>
      <c r="R11" s="62"/>
      <c r="S11" s="62"/>
      <c r="T11" s="62"/>
      <c r="U11" s="62" t="s">
        <v>17</v>
      </c>
      <c r="V11" s="62"/>
      <c r="W11" s="62"/>
      <c r="X11" s="62"/>
      <c r="Y11" s="62"/>
      <c r="Z11" s="62"/>
      <c r="AA11" s="62"/>
      <c r="AB11" s="62">
        <f>附页!AB11</f>
        <v>0</v>
      </c>
      <c r="AC11" s="62"/>
      <c r="AD11" s="20" t="s">
        <v>18</v>
      </c>
      <c r="AE11" s="36"/>
      <c r="AF11" s="36"/>
      <c r="AG11" s="36"/>
      <c r="AH11" s="36"/>
      <c r="AI11" s="36"/>
      <c r="AJ11" s="25"/>
      <c r="AK11" s="28"/>
      <c r="AL11" s="28"/>
      <c r="AM11" s="28"/>
      <c r="AN11" s="28"/>
      <c r="AO11" s="28"/>
      <c r="AP11" s="28"/>
      <c r="AQ11" s="28"/>
    </row>
    <row r="12" spans="1:43" ht="17.100000000000001" customHeight="1" x14ac:dyDescent="0.25">
      <c r="A12" s="6"/>
      <c r="B12" s="7"/>
      <c r="C12" s="7"/>
      <c r="D12" s="60" t="s">
        <v>21</v>
      </c>
      <c r="E12" s="60"/>
      <c r="F12" s="60"/>
      <c r="G12" s="60"/>
      <c r="H12" s="62">
        <f>附页!H12</f>
        <v>0</v>
      </c>
      <c r="I12" s="62"/>
      <c r="J12" s="62" t="s">
        <v>22</v>
      </c>
      <c r="K12" s="62"/>
      <c r="L12" s="62"/>
      <c r="M12" s="62"/>
      <c r="N12" s="62"/>
      <c r="O12" s="62"/>
      <c r="P12" s="62"/>
      <c r="Q12" s="62" t="str">
        <f>TEXT(附页!Q12/86400,"hh:mm:ss")</f>
        <v>00:00:00</v>
      </c>
      <c r="R12" s="62"/>
      <c r="S12" s="62"/>
      <c r="T12" s="62"/>
      <c r="U12" s="62" t="s">
        <v>23</v>
      </c>
      <c r="V12" s="62"/>
      <c r="W12" s="62"/>
      <c r="X12" s="62"/>
      <c r="Y12" s="62"/>
      <c r="Z12" s="62">
        <f>附页!Z12</f>
        <v>0</v>
      </c>
      <c r="AA12" s="62"/>
      <c r="AB12" s="67"/>
      <c r="AC12" s="20" t="s">
        <v>18</v>
      </c>
      <c r="AD12" s="20"/>
      <c r="AE12" s="36"/>
      <c r="AF12" s="36"/>
      <c r="AG12" s="36"/>
      <c r="AH12" s="36"/>
      <c r="AI12" s="36"/>
      <c r="AJ12" s="25"/>
      <c r="AK12" s="28"/>
      <c r="AL12" s="28"/>
      <c r="AM12" s="28"/>
      <c r="AN12" s="28"/>
      <c r="AO12" s="28"/>
      <c r="AP12" s="28"/>
      <c r="AQ12" s="28"/>
    </row>
    <row r="13" spans="1:43" ht="17.100000000000001" customHeight="1" x14ac:dyDescent="0.25">
      <c r="A13" s="6"/>
      <c r="B13" s="7"/>
      <c r="C13" s="7"/>
      <c r="D13" s="60" t="s">
        <v>21</v>
      </c>
      <c r="E13" s="60"/>
      <c r="F13" s="60"/>
      <c r="G13" s="60"/>
      <c r="H13" s="62">
        <f>附页!H13</f>
        <v>0</v>
      </c>
      <c r="I13" s="62"/>
      <c r="J13" s="60" t="s">
        <v>24</v>
      </c>
      <c r="K13" s="60"/>
      <c r="L13" s="60"/>
      <c r="M13" s="60"/>
      <c r="N13" s="60"/>
      <c r="O13" s="60"/>
      <c r="P13" s="60"/>
      <c r="Q13" s="62" t="str">
        <f>TEXT(附页!Q13/86400,"hh:mm:ss")</f>
        <v>00:00:00</v>
      </c>
      <c r="R13" s="62"/>
      <c r="S13" s="62"/>
      <c r="T13" s="62"/>
      <c r="U13" s="68" t="s">
        <v>23</v>
      </c>
      <c r="V13" s="68"/>
      <c r="W13" s="68"/>
      <c r="X13" s="68"/>
      <c r="Y13" s="68"/>
      <c r="Z13" s="62">
        <f>附页!Z13</f>
        <v>0</v>
      </c>
      <c r="AA13" s="62"/>
      <c r="AB13" s="62"/>
      <c r="AC13" s="20" t="s">
        <v>18</v>
      </c>
      <c r="AD13" s="20"/>
      <c r="AE13" s="36"/>
      <c r="AF13" s="36"/>
      <c r="AG13" s="36"/>
      <c r="AH13" s="36"/>
      <c r="AI13" s="36"/>
      <c r="AJ13" s="25"/>
      <c r="AK13" s="28"/>
      <c r="AL13" s="28"/>
      <c r="AM13" s="28"/>
      <c r="AN13" s="28"/>
      <c r="AO13" s="28"/>
      <c r="AP13" s="28"/>
      <c r="AQ13" s="28"/>
    </row>
    <row r="14" spans="1:43" ht="10.5" customHeight="1" x14ac:dyDescent="0.25">
      <c r="A14" s="8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37"/>
      <c r="AK14" s="38"/>
      <c r="AL14" s="38"/>
      <c r="AM14" s="38"/>
      <c r="AN14" s="38"/>
      <c r="AO14" s="38"/>
      <c r="AP14" s="38"/>
      <c r="AQ14" s="28"/>
    </row>
    <row r="15" spans="1:43" ht="13.95" customHeight="1" x14ac:dyDescent="0.25">
      <c r="A15" s="69" t="s">
        <v>25</v>
      </c>
      <c r="B15" s="70"/>
      <c r="C15" s="70"/>
      <c r="D15" s="70"/>
      <c r="E15" s="70"/>
      <c r="F15" s="71"/>
      <c r="G15" s="72" t="s">
        <v>26</v>
      </c>
      <c r="H15" s="70"/>
      <c r="I15" s="70"/>
      <c r="J15" s="70"/>
      <c r="K15" s="70"/>
      <c r="L15" s="71"/>
      <c r="M15" s="72" t="s">
        <v>27</v>
      </c>
      <c r="N15" s="70"/>
      <c r="O15" s="70"/>
      <c r="P15" s="70"/>
      <c r="Q15" s="70"/>
      <c r="R15" s="71"/>
      <c r="S15" s="72" t="s">
        <v>28</v>
      </c>
      <c r="T15" s="70"/>
      <c r="U15" s="70"/>
      <c r="V15" s="70"/>
      <c r="W15" s="70"/>
      <c r="X15" s="71"/>
      <c r="Y15" s="72" t="s">
        <v>29</v>
      </c>
      <c r="Z15" s="70"/>
      <c r="AA15" s="70"/>
      <c r="AB15" s="70"/>
      <c r="AC15" s="70"/>
      <c r="AD15" s="71"/>
      <c r="AE15" s="59" t="s">
        <v>30</v>
      </c>
      <c r="AF15" s="59"/>
      <c r="AG15" s="59"/>
      <c r="AH15" s="59"/>
      <c r="AI15" s="59"/>
      <c r="AJ15" s="59"/>
      <c r="AK15" s="39"/>
      <c r="AL15" s="39"/>
      <c r="AM15" s="38"/>
      <c r="AN15" s="38"/>
      <c r="AO15" s="38"/>
      <c r="AP15" s="38"/>
      <c r="AQ15" s="28"/>
    </row>
    <row r="16" spans="1:43" ht="13.95" customHeight="1" x14ac:dyDescent="0.25">
      <c r="A16" s="73" t="s">
        <v>31</v>
      </c>
      <c r="B16" s="74"/>
      <c r="C16" s="74"/>
      <c r="D16" s="74"/>
      <c r="E16" s="74"/>
      <c r="F16" s="75"/>
      <c r="G16" s="76" t="str">
        <f>TEXT(附页!G16/86400,"hh:mm:ss")&amp;"/"&amp;附页!K16</f>
        <v>00:00:01/20</v>
      </c>
      <c r="H16" s="74"/>
      <c r="I16" s="74"/>
      <c r="J16" s="74"/>
      <c r="K16" s="74"/>
      <c r="L16" s="75"/>
      <c r="M16" s="76" t="str">
        <f>TEXT(附页!M16/86400,"hh:mm:ss")&amp;"/"&amp;附页!Q16</f>
        <v>00:00:00/</v>
      </c>
      <c r="N16" s="74"/>
      <c r="O16" s="74"/>
      <c r="P16" s="74"/>
      <c r="Q16" s="74"/>
      <c r="R16" s="75"/>
      <c r="S16" s="76" t="str">
        <f>TEXT(附页!S16/86400,"hh:mm:ss")&amp;"/"&amp;附页!W16</f>
        <v>00:00:00/</v>
      </c>
      <c r="T16" s="74"/>
      <c r="U16" s="74"/>
      <c r="V16" s="74"/>
      <c r="W16" s="74"/>
      <c r="X16" s="75"/>
      <c r="Y16" s="76" t="str">
        <f>TEXT(附页!Y16/86400,"hh:mm:ss")&amp;"/"&amp;附页!AC16</f>
        <v>00:00:00/</v>
      </c>
      <c r="Z16" s="74"/>
      <c r="AA16" s="74"/>
      <c r="AB16" s="74"/>
      <c r="AC16" s="74"/>
      <c r="AD16" s="75"/>
      <c r="AE16" s="76" t="str">
        <f>TEXT(附页!AE16/86400,"hh:mm:ss")&amp;"/"&amp;附页!AI16</f>
        <v>00:00:00/</v>
      </c>
      <c r="AF16" s="74"/>
      <c r="AG16" s="74"/>
      <c r="AH16" s="74"/>
      <c r="AI16" s="74"/>
      <c r="AJ16" s="75"/>
      <c r="AK16" s="38"/>
      <c r="AL16" s="38"/>
      <c r="AM16" s="38"/>
      <c r="AN16" s="38"/>
      <c r="AO16" s="38"/>
      <c r="AP16" s="38"/>
      <c r="AQ16" s="28"/>
    </row>
    <row r="17" spans="1:44" ht="13.95" customHeight="1" x14ac:dyDescent="0.25">
      <c r="A17" s="73" t="s">
        <v>32</v>
      </c>
      <c r="B17" s="74"/>
      <c r="C17" s="74"/>
      <c r="D17" s="74"/>
      <c r="E17" s="74"/>
      <c r="F17" s="75"/>
      <c r="G17" s="76" t="str">
        <f>TEXT(附页!G17/86400,"hh:mm:ss")&amp;"/"&amp;附页!K17</f>
        <v>00:00:00/</v>
      </c>
      <c r="H17" s="74"/>
      <c r="I17" s="74"/>
      <c r="J17" s="74"/>
      <c r="K17" s="74"/>
      <c r="L17" s="75"/>
      <c r="M17" s="76" t="str">
        <f>TEXT(附页!M17/86400,"hh:mm:ss")&amp;"/"&amp;附页!Q17</f>
        <v>00:00:00/</v>
      </c>
      <c r="N17" s="74"/>
      <c r="O17" s="74"/>
      <c r="P17" s="74"/>
      <c r="Q17" s="74"/>
      <c r="R17" s="75"/>
      <c r="S17" s="76" t="str">
        <f>TEXT(附页!S17/86400,"hh:mm:ss")&amp;"/"&amp;附页!W17</f>
        <v>00:00:00/</v>
      </c>
      <c r="T17" s="74"/>
      <c r="U17" s="74"/>
      <c r="V17" s="74"/>
      <c r="W17" s="74"/>
      <c r="X17" s="75"/>
      <c r="Y17" s="76" t="str">
        <f>TEXT(附页!Y17/86400,"hh:mm:ss")&amp;"/"&amp;附页!AC17</f>
        <v>00:00:00/</v>
      </c>
      <c r="Z17" s="74"/>
      <c r="AA17" s="74"/>
      <c r="AB17" s="74"/>
      <c r="AC17" s="74"/>
      <c r="AD17" s="75"/>
      <c r="AE17" s="76" t="str">
        <f>TEXT(附页!AE17/86400,"hh:mm:ss")&amp;"/"&amp;附页!AI17</f>
        <v>00:00:00/</v>
      </c>
      <c r="AF17" s="74"/>
      <c r="AG17" s="74"/>
      <c r="AH17" s="74"/>
      <c r="AI17" s="74"/>
      <c r="AJ17" s="75"/>
      <c r="AK17" s="40"/>
      <c r="AL17" s="40"/>
      <c r="AM17" s="40"/>
      <c r="AN17" s="40"/>
      <c r="AO17" s="40"/>
      <c r="AP17" s="40"/>
      <c r="AQ17" s="41"/>
    </row>
    <row r="18" spans="1:44" ht="13.95" customHeight="1" x14ac:dyDescent="0.25">
      <c r="A18" s="73" t="s">
        <v>33</v>
      </c>
      <c r="B18" s="74"/>
      <c r="C18" s="74"/>
      <c r="D18" s="74"/>
      <c r="E18" s="74"/>
      <c r="F18" s="75"/>
      <c r="G18" s="76" t="str">
        <f>TEXT(附页!G18/86400,"hh:mm:ss")&amp;"/"&amp;附页!K18</f>
        <v>00:00:00/</v>
      </c>
      <c r="H18" s="74"/>
      <c r="I18" s="74"/>
      <c r="J18" s="74"/>
      <c r="K18" s="74"/>
      <c r="L18" s="75"/>
      <c r="M18" s="76" t="str">
        <f>TEXT(附页!M18/86400,"hh:mm:ss")&amp;"/"&amp;附页!Q18</f>
        <v>00:00:00/</v>
      </c>
      <c r="N18" s="74"/>
      <c r="O18" s="74"/>
      <c r="P18" s="74"/>
      <c r="Q18" s="74"/>
      <c r="R18" s="75"/>
      <c r="S18" s="76" t="str">
        <f>TEXT(附页!S18/86400,"hh:mm:ss")&amp;"/"&amp;附页!W18</f>
        <v>00:00:00/</v>
      </c>
      <c r="T18" s="74"/>
      <c r="U18" s="74"/>
      <c r="V18" s="74"/>
      <c r="W18" s="74"/>
      <c r="X18" s="75"/>
      <c r="Y18" s="76" t="str">
        <f>TEXT(附页!Y18/86400,"hh:mm:ss")&amp;"/"&amp;附页!AC18</f>
        <v>00:00:00/</v>
      </c>
      <c r="Z18" s="74"/>
      <c r="AA18" s="74"/>
      <c r="AB18" s="74"/>
      <c r="AC18" s="74"/>
      <c r="AD18" s="75"/>
      <c r="AE18" s="76" t="str">
        <f>TEXT(附页!AE18/86400,"hh:mm:ss")&amp;"/"&amp;附页!AI18</f>
        <v>00:00:00/</v>
      </c>
      <c r="AF18" s="74"/>
      <c r="AG18" s="74"/>
      <c r="AH18" s="74"/>
      <c r="AI18" s="74"/>
      <c r="AJ18" s="75"/>
      <c r="AK18" s="40"/>
      <c r="AL18" s="40"/>
      <c r="AM18" s="40"/>
      <c r="AN18" s="40"/>
      <c r="AO18" s="40"/>
      <c r="AP18" s="40"/>
      <c r="AQ18" s="41"/>
      <c r="AR18" s="32"/>
    </row>
    <row r="19" spans="1:44" ht="13.95" customHeight="1" x14ac:dyDescent="0.25">
      <c r="A19" s="73" t="s">
        <v>34</v>
      </c>
      <c r="B19" s="74"/>
      <c r="C19" s="74"/>
      <c r="D19" s="74"/>
      <c r="E19" s="74"/>
      <c r="F19" s="75"/>
      <c r="G19" s="76" t="str">
        <f>TEXT(附页!G19/86400,"hh:mm:ss")&amp;"/"&amp;附页!K19</f>
        <v>00:00:00/0</v>
      </c>
      <c r="H19" s="74"/>
      <c r="I19" s="74"/>
      <c r="J19" s="74"/>
      <c r="K19" s="74"/>
      <c r="L19" s="75"/>
      <c r="M19" s="76" t="str">
        <f>TEXT(附页!M19/86400,"hh:mm:ss")&amp;"/"&amp;附页!Q19</f>
        <v>00:00:00/0</v>
      </c>
      <c r="N19" s="74"/>
      <c r="O19" s="74"/>
      <c r="P19" s="74"/>
      <c r="Q19" s="74"/>
      <c r="R19" s="75"/>
      <c r="S19" s="76" t="str">
        <f>TEXT(附页!S19/86400,"hh:mm:ss")&amp;"/"&amp;附页!W19</f>
        <v>00:00:00/0</v>
      </c>
      <c r="T19" s="74"/>
      <c r="U19" s="74"/>
      <c r="V19" s="74"/>
      <c r="W19" s="74"/>
      <c r="X19" s="75"/>
      <c r="Y19" s="76" t="str">
        <f>TEXT(附页!Y19/86400,"hh:mm:ss")&amp;"/"&amp;附页!AC19</f>
        <v>00:00:00/0</v>
      </c>
      <c r="Z19" s="74"/>
      <c r="AA19" s="74"/>
      <c r="AB19" s="74"/>
      <c r="AC19" s="74"/>
      <c r="AD19" s="75"/>
      <c r="AE19" s="76" t="str">
        <f>TEXT(附页!AE19/86400,"hh:mm:ss")&amp;"/"&amp;附页!AI19</f>
        <v>00:00:00/0</v>
      </c>
      <c r="AF19" s="74"/>
      <c r="AG19" s="74"/>
      <c r="AH19" s="74"/>
      <c r="AI19" s="74"/>
      <c r="AJ19" s="75"/>
      <c r="AQ19" s="45"/>
    </row>
    <row r="20" spans="1:44" ht="13.95" customHeight="1" x14ac:dyDescent="0.25">
      <c r="A20" s="73" t="s">
        <v>35</v>
      </c>
      <c r="B20" s="74"/>
      <c r="C20" s="74"/>
      <c r="D20" s="74"/>
      <c r="E20" s="74"/>
      <c r="F20" s="75"/>
      <c r="G20" s="76" t="str">
        <f>TEXT(附页!G20/86400,"hh:mm:ss")&amp;"/"&amp;附页!K20</f>
        <v>00:00:00/</v>
      </c>
      <c r="H20" s="74"/>
      <c r="I20" s="74"/>
      <c r="J20" s="74"/>
      <c r="K20" s="74"/>
      <c r="L20" s="75"/>
      <c r="M20" s="76" t="str">
        <f>TEXT(附页!M20/86400,"hh:mm:ss")&amp;"/"&amp;附页!Q20</f>
        <v>00:00:00/</v>
      </c>
      <c r="N20" s="74"/>
      <c r="O20" s="74"/>
      <c r="P20" s="74"/>
      <c r="Q20" s="74"/>
      <c r="R20" s="75"/>
      <c r="S20" s="76" t="str">
        <f>TEXT(附页!S20/86400,"hh:mm:ss")&amp;"/"&amp;附页!W20</f>
        <v>00:00:00/</v>
      </c>
      <c r="T20" s="74"/>
      <c r="U20" s="74"/>
      <c r="V20" s="74"/>
      <c r="W20" s="74"/>
      <c r="X20" s="75"/>
      <c r="Y20" s="76" t="str">
        <f>TEXT(附页!Y20/86400,"hh:mm:ss")&amp;"/"&amp;附页!AC20</f>
        <v>00:00:00/</v>
      </c>
      <c r="Z20" s="74"/>
      <c r="AA20" s="74"/>
      <c r="AB20" s="74"/>
      <c r="AC20" s="74"/>
      <c r="AD20" s="75"/>
      <c r="AE20" s="76" t="str">
        <f>TEXT(附页!AE20/86400,"hh:mm:ss")&amp;"/"&amp;附页!AI20</f>
        <v>00:00:00/</v>
      </c>
      <c r="AF20" s="74"/>
      <c r="AG20" s="74"/>
      <c r="AH20" s="74"/>
      <c r="AI20" s="74"/>
      <c r="AJ20" s="75"/>
      <c r="AK20" s="41"/>
      <c r="AL20" s="41"/>
      <c r="AM20" s="41"/>
      <c r="AN20" s="42"/>
      <c r="AO20" s="41"/>
      <c r="AP20" s="41"/>
      <c r="AQ20" s="45"/>
      <c r="AR20" s="32"/>
    </row>
    <row r="21" spans="1:44" ht="16.95" customHeight="1" x14ac:dyDescent="0.25">
      <c r="A21" s="77" t="s">
        <v>36</v>
      </c>
      <c r="B21" s="78"/>
      <c r="C21" s="78"/>
      <c r="D21" s="78"/>
      <c r="E21" s="78"/>
      <c r="F21" s="78"/>
      <c r="G21" s="79">
        <f>附页!G21</f>
        <v>0</v>
      </c>
      <c r="H21" s="79"/>
      <c r="I21" s="79"/>
      <c r="J21" s="79"/>
      <c r="K21" s="80" t="s">
        <v>37</v>
      </c>
      <c r="L21" s="80"/>
      <c r="M21" s="80"/>
      <c r="N21" s="80"/>
      <c r="O21" s="80"/>
      <c r="P21" s="80">
        <f>附页!P21</f>
        <v>0</v>
      </c>
      <c r="Q21" s="80"/>
      <c r="R21" s="80"/>
      <c r="S21" s="80" t="s">
        <v>38</v>
      </c>
      <c r="T21" s="80"/>
      <c r="U21" s="80"/>
      <c r="V21" s="80"/>
      <c r="W21" s="80"/>
      <c r="X21" s="80"/>
      <c r="Y21" s="80">
        <f>附页!Y21</f>
        <v>0</v>
      </c>
      <c r="Z21" s="80"/>
      <c r="AA21" s="80"/>
      <c r="AB21" s="78" t="s">
        <v>39</v>
      </c>
      <c r="AC21" s="78"/>
      <c r="AD21" s="78"/>
      <c r="AE21" s="78"/>
      <c r="AF21" s="78"/>
      <c r="AG21" s="78"/>
      <c r="AH21" s="80">
        <f>附页!AH21</f>
        <v>0</v>
      </c>
      <c r="AI21" s="80"/>
      <c r="AJ21" s="81"/>
      <c r="AK21" s="41"/>
      <c r="AL21" s="41"/>
      <c r="AM21" s="41"/>
      <c r="AN21" s="42"/>
      <c r="AO21" s="41"/>
      <c r="AP21" s="41"/>
      <c r="AQ21" s="45"/>
    </row>
    <row r="22" spans="1:44" ht="15" customHeight="1" x14ac:dyDescent="0.25">
      <c r="A22" s="33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41"/>
      <c r="AL22" s="41"/>
      <c r="AM22" s="41"/>
      <c r="AN22" s="42"/>
      <c r="AO22" s="41"/>
      <c r="AP22" s="41"/>
      <c r="AQ22" s="45"/>
      <c r="AR22" s="32"/>
    </row>
    <row r="23" spans="1:44" ht="16.95" customHeight="1" x14ac:dyDescent="0.25">
      <c r="A23" s="58" t="s">
        <v>40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41"/>
      <c r="AL23" s="41"/>
      <c r="AM23" s="41"/>
      <c r="AN23" s="42"/>
      <c r="AO23" s="41"/>
      <c r="AP23" s="41"/>
      <c r="AQ23" s="45"/>
    </row>
    <row r="24" spans="1:44" ht="16.95" customHeight="1" x14ac:dyDescent="0.25">
      <c r="A24" s="87" t="s">
        <v>41</v>
      </c>
      <c r="B24" s="88"/>
      <c r="C24" s="88"/>
      <c r="D24" s="89">
        <f>附页!D24</f>
        <v>0</v>
      </c>
      <c r="E24" s="89"/>
      <c r="F24" s="13" t="s">
        <v>18</v>
      </c>
      <c r="G24" s="88" t="s">
        <v>42</v>
      </c>
      <c r="H24" s="88"/>
      <c r="I24" s="88"/>
      <c r="J24" s="88"/>
      <c r="K24" s="88"/>
      <c r="L24" s="88"/>
      <c r="M24" s="89">
        <f>附页!M24</f>
        <v>0</v>
      </c>
      <c r="N24" s="89"/>
      <c r="O24" s="13" t="s">
        <v>18</v>
      </c>
      <c r="P24" s="88" t="s">
        <v>43</v>
      </c>
      <c r="Q24" s="88"/>
      <c r="R24" s="88"/>
      <c r="S24" s="88"/>
      <c r="T24" s="89">
        <f>附页!T24</f>
        <v>0</v>
      </c>
      <c r="U24" s="89"/>
      <c r="V24" s="13" t="s">
        <v>18</v>
      </c>
      <c r="W24" s="88" t="s">
        <v>44</v>
      </c>
      <c r="X24" s="88"/>
      <c r="Y24" s="88"/>
      <c r="Z24" s="88"/>
      <c r="AA24" s="88"/>
      <c r="AB24" s="89">
        <f>附页!AB24</f>
        <v>0</v>
      </c>
      <c r="AC24" s="89"/>
      <c r="AD24" s="21" t="s">
        <v>18</v>
      </c>
      <c r="AE24" s="90" t="s">
        <v>45</v>
      </c>
      <c r="AF24" s="90"/>
      <c r="AG24" s="90"/>
      <c r="AH24" s="82">
        <f>附页!AH24</f>
        <v>0</v>
      </c>
      <c r="AI24" s="83"/>
      <c r="AJ24" s="84"/>
      <c r="AK24" s="41"/>
      <c r="AL24" s="41"/>
      <c r="AM24" s="41"/>
      <c r="AN24" s="42"/>
      <c r="AO24" s="41"/>
      <c r="AP24" s="41"/>
      <c r="AQ24" s="45"/>
      <c r="AR24" s="32"/>
    </row>
    <row r="25" spans="1:44" ht="13.95" customHeight="1" x14ac:dyDescent="0.25">
      <c r="A25" s="58" t="s">
        <v>46</v>
      </c>
      <c r="B25" s="59"/>
      <c r="C25" s="59"/>
      <c r="D25" s="59"/>
      <c r="E25" s="59"/>
      <c r="F25" s="59"/>
      <c r="G25" s="58" t="s">
        <v>47</v>
      </c>
      <c r="H25" s="59"/>
      <c r="I25" s="59"/>
      <c r="J25" s="59"/>
      <c r="K25" s="59"/>
      <c r="L25" s="58" t="s">
        <v>48</v>
      </c>
      <c r="M25" s="59"/>
      <c r="N25" s="59"/>
      <c r="O25" s="59"/>
      <c r="P25" s="59"/>
      <c r="Q25" s="58" t="s">
        <v>49</v>
      </c>
      <c r="R25" s="59"/>
      <c r="S25" s="59"/>
      <c r="T25" s="59"/>
      <c r="U25" s="59"/>
      <c r="V25" s="58" t="s">
        <v>50</v>
      </c>
      <c r="W25" s="59"/>
      <c r="X25" s="59"/>
      <c r="Y25" s="59"/>
      <c r="Z25" s="59"/>
      <c r="AA25" s="58" t="s">
        <v>51</v>
      </c>
      <c r="AB25" s="59"/>
      <c r="AC25" s="59"/>
      <c r="AD25" s="59"/>
      <c r="AE25" s="59"/>
      <c r="AF25" s="58" t="s">
        <v>52</v>
      </c>
      <c r="AG25" s="59"/>
      <c r="AH25" s="59"/>
      <c r="AI25" s="59"/>
      <c r="AJ25" s="59"/>
      <c r="AK25" s="41"/>
      <c r="AL25" s="41"/>
      <c r="AM25" s="43"/>
      <c r="AN25" s="41"/>
      <c r="AO25" s="41"/>
      <c r="AP25" s="41"/>
      <c r="AQ25" s="41"/>
    </row>
    <row r="26" spans="1:44" ht="13.95" customHeight="1" x14ac:dyDescent="0.25">
      <c r="A26" s="73" t="s">
        <v>31</v>
      </c>
      <c r="B26" s="74"/>
      <c r="C26" s="74"/>
      <c r="D26" s="74"/>
      <c r="E26" s="74"/>
      <c r="F26" s="75"/>
      <c r="G26" s="85" t="str">
        <f>TEXT(附页!G26/86400,"hh:mm:ss")</f>
        <v>00:00:00</v>
      </c>
      <c r="H26" s="86"/>
      <c r="I26" s="86"/>
      <c r="J26" s="86"/>
      <c r="K26" s="86"/>
      <c r="L26" s="85" t="str">
        <f>TEXT(附页!L26/86400,"hh:mm:ss")</f>
        <v>00:00:00</v>
      </c>
      <c r="M26" s="86"/>
      <c r="N26" s="86"/>
      <c r="O26" s="86"/>
      <c r="P26" s="86"/>
      <c r="Q26" s="85" t="str">
        <f>TEXT(附页!Q26/86400,"hh:mm:ss")</f>
        <v>00:00:00</v>
      </c>
      <c r="R26" s="86"/>
      <c r="S26" s="86"/>
      <c r="T26" s="86"/>
      <c r="U26" s="86"/>
      <c r="V26" s="85" t="str">
        <f>TEXT(附页!V26/86400,"hh:mm:ss")</f>
        <v>00:00:00</v>
      </c>
      <c r="W26" s="86"/>
      <c r="X26" s="86"/>
      <c r="Y26" s="86"/>
      <c r="Z26" s="86"/>
      <c r="AA26" s="85" t="str">
        <f>TEXT(附页!AA26/86400,"hh:mm:ss")</f>
        <v>00:00:00</v>
      </c>
      <c r="AB26" s="86"/>
      <c r="AC26" s="86"/>
      <c r="AD26" s="86"/>
      <c r="AE26" s="86"/>
      <c r="AF26" s="85" t="str">
        <f>TEXT(附页!AF26/86400,"hh:mm:ss")</f>
        <v>00:00:00</v>
      </c>
      <c r="AG26" s="86"/>
      <c r="AH26" s="86"/>
      <c r="AI26" s="86"/>
      <c r="AJ26" s="86"/>
      <c r="AK26" s="44"/>
      <c r="AL26" s="44"/>
      <c r="AM26" s="44"/>
      <c r="AN26" s="44"/>
      <c r="AO26" s="44"/>
      <c r="AP26" s="44"/>
      <c r="AQ26" s="44"/>
      <c r="AR26" s="32"/>
    </row>
    <row r="27" spans="1:44" ht="13.95" customHeight="1" x14ac:dyDescent="0.25">
      <c r="A27" s="73" t="s">
        <v>32</v>
      </c>
      <c r="B27" s="74"/>
      <c r="C27" s="74"/>
      <c r="D27" s="74"/>
      <c r="E27" s="74"/>
      <c r="F27" s="75"/>
      <c r="G27" s="85" t="str">
        <f>TEXT(附页!G27/86400,"hh:mm:ss")</f>
        <v>00:00:00</v>
      </c>
      <c r="H27" s="86"/>
      <c r="I27" s="86"/>
      <c r="J27" s="86"/>
      <c r="K27" s="86"/>
      <c r="L27" s="85" t="str">
        <f>TEXT(附页!L27/86400,"hh:mm:ss")</f>
        <v>00:00:00</v>
      </c>
      <c r="M27" s="86"/>
      <c r="N27" s="86"/>
      <c r="O27" s="86"/>
      <c r="P27" s="86"/>
      <c r="Q27" s="85" t="str">
        <f>TEXT(附页!Q27/86400,"hh:mm:ss")</f>
        <v>00:00:00</v>
      </c>
      <c r="R27" s="86"/>
      <c r="S27" s="86"/>
      <c r="T27" s="86"/>
      <c r="U27" s="86"/>
      <c r="V27" s="85" t="str">
        <f>TEXT(附页!V27/86400,"hh:mm:ss")</f>
        <v>00:00:00</v>
      </c>
      <c r="W27" s="86"/>
      <c r="X27" s="86"/>
      <c r="Y27" s="86"/>
      <c r="Z27" s="86"/>
      <c r="AA27" s="85" t="str">
        <f>TEXT(附页!AA27/86400,"hh:mm:ss")</f>
        <v>00:00:00</v>
      </c>
      <c r="AB27" s="86"/>
      <c r="AC27" s="86"/>
      <c r="AD27" s="86"/>
      <c r="AE27" s="86"/>
      <c r="AF27" s="85" t="str">
        <f>TEXT(附页!AF27/86400,"hh:mm:ss")</f>
        <v>00:00:00</v>
      </c>
      <c r="AG27" s="86"/>
      <c r="AH27" s="86"/>
      <c r="AI27" s="86"/>
      <c r="AJ27" s="86"/>
      <c r="AK27" s="28"/>
      <c r="AL27" s="28"/>
      <c r="AM27" s="28"/>
      <c r="AN27" s="28"/>
      <c r="AO27" s="28"/>
      <c r="AP27" s="28"/>
      <c r="AQ27" s="28"/>
      <c r="AR27" s="32"/>
    </row>
    <row r="28" spans="1:44" ht="13.95" customHeight="1" x14ac:dyDescent="0.25">
      <c r="A28" s="73" t="s">
        <v>33</v>
      </c>
      <c r="B28" s="74"/>
      <c r="C28" s="74"/>
      <c r="D28" s="74"/>
      <c r="E28" s="74"/>
      <c r="F28" s="75"/>
      <c r="G28" s="85" t="str">
        <f>TEXT(附页!G28/86400,"hh:mm:ss")</f>
        <v>00:00:00</v>
      </c>
      <c r="H28" s="86"/>
      <c r="I28" s="86"/>
      <c r="J28" s="86"/>
      <c r="K28" s="86"/>
      <c r="L28" s="85" t="str">
        <f>TEXT(附页!L28/86400,"hh:mm:ss")</f>
        <v>00:00:00</v>
      </c>
      <c r="M28" s="86"/>
      <c r="N28" s="86"/>
      <c r="O28" s="86"/>
      <c r="P28" s="86"/>
      <c r="Q28" s="85" t="str">
        <f>TEXT(附页!Q28/86400,"hh:mm:ss")</f>
        <v>00:00:00</v>
      </c>
      <c r="R28" s="86"/>
      <c r="S28" s="86"/>
      <c r="T28" s="86"/>
      <c r="U28" s="86"/>
      <c r="V28" s="85" t="str">
        <f>TEXT(附页!V28/86400,"hh:mm:ss")</f>
        <v>00:00:00</v>
      </c>
      <c r="W28" s="86"/>
      <c r="X28" s="86"/>
      <c r="Y28" s="86"/>
      <c r="Z28" s="86"/>
      <c r="AA28" s="85" t="str">
        <f>TEXT(附页!AA28/86400,"hh:mm:ss")</f>
        <v>00:00:00</v>
      </c>
      <c r="AB28" s="86"/>
      <c r="AC28" s="86"/>
      <c r="AD28" s="86"/>
      <c r="AE28" s="86"/>
      <c r="AF28" s="85" t="str">
        <f>TEXT(附页!AF28/86400,"hh:mm:ss")</f>
        <v>00:00:00</v>
      </c>
      <c r="AG28" s="86"/>
      <c r="AH28" s="86"/>
      <c r="AI28" s="86"/>
      <c r="AJ28" s="86"/>
      <c r="AK28" s="28"/>
      <c r="AL28" s="28"/>
      <c r="AM28" s="28"/>
      <c r="AN28" s="28"/>
      <c r="AO28" s="28"/>
      <c r="AP28" s="28"/>
      <c r="AQ28" s="28"/>
      <c r="AR28" s="32"/>
    </row>
    <row r="29" spans="1:44" ht="13.95" customHeight="1" x14ac:dyDescent="0.25">
      <c r="A29" s="73" t="s">
        <v>34</v>
      </c>
      <c r="B29" s="74"/>
      <c r="C29" s="74"/>
      <c r="D29" s="74"/>
      <c r="E29" s="74"/>
      <c r="F29" s="75"/>
      <c r="G29" s="85" t="str">
        <f>TEXT(附页!G29/86400,"hh:mm:ss")</f>
        <v>00:00:00</v>
      </c>
      <c r="H29" s="86"/>
      <c r="I29" s="86"/>
      <c r="J29" s="86"/>
      <c r="K29" s="86"/>
      <c r="L29" s="85" t="str">
        <f>TEXT(附页!L29/86400,"hh:mm:ss")</f>
        <v>00:00:00</v>
      </c>
      <c r="M29" s="86"/>
      <c r="N29" s="86"/>
      <c r="O29" s="86"/>
      <c r="P29" s="86"/>
      <c r="Q29" s="85" t="str">
        <f>TEXT(附页!Q29/86400,"hh:mm:ss")</f>
        <v>00:00:00</v>
      </c>
      <c r="R29" s="86"/>
      <c r="S29" s="86"/>
      <c r="T29" s="86"/>
      <c r="U29" s="86"/>
      <c r="V29" s="85" t="str">
        <f>TEXT(附页!V29/86400,"hh:mm:ss")</f>
        <v>00:00:00</v>
      </c>
      <c r="W29" s="86"/>
      <c r="X29" s="86"/>
      <c r="Y29" s="86"/>
      <c r="Z29" s="86"/>
      <c r="AA29" s="85" t="str">
        <f>TEXT(附页!AA29/86400,"hh:mm:ss")</f>
        <v>00:00:00</v>
      </c>
      <c r="AB29" s="86"/>
      <c r="AC29" s="86"/>
      <c r="AD29" s="86"/>
      <c r="AE29" s="86"/>
      <c r="AF29" s="85" t="str">
        <f>TEXT(附页!AF29/86400,"hh:mm:ss")</f>
        <v>00:00:00</v>
      </c>
      <c r="AG29" s="86"/>
      <c r="AH29" s="86"/>
      <c r="AI29" s="86"/>
      <c r="AJ29" s="86"/>
      <c r="AK29" s="41"/>
      <c r="AL29" s="41"/>
      <c r="AM29" s="41"/>
      <c r="AN29" s="41"/>
      <c r="AO29" s="41"/>
      <c r="AP29" s="28"/>
      <c r="AQ29" s="28"/>
      <c r="AR29" s="32"/>
    </row>
    <row r="30" spans="1:44" ht="13.95" customHeight="1" x14ac:dyDescent="0.25">
      <c r="A30" s="73" t="s">
        <v>35</v>
      </c>
      <c r="B30" s="74"/>
      <c r="C30" s="74"/>
      <c r="D30" s="74"/>
      <c r="E30" s="74"/>
      <c r="F30" s="75"/>
      <c r="G30" s="85" t="str">
        <f>TEXT(附页!G30/86400,"hh:mm:ss")</f>
        <v>00:00:00</v>
      </c>
      <c r="H30" s="86"/>
      <c r="I30" s="86"/>
      <c r="J30" s="86"/>
      <c r="K30" s="86"/>
      <c r="L30" s="85" t="str">
        <f>TEXT(附页!L30/86400,"hh:mm:ss")</f>
        <v>00:00:00</v>
      </c>
      <c r="M30" s="86"/>
      <c r="N30" s="86"/>
      <c r="O30" s="86"/>
      <c r="P30" s="86"/>
      <c r="Q30" s="85" t="str">
        <f>TEXT(附页!Q30/86400,"hh:mm:ss")</f>
        <v>00:00:00</v>
      </c>
      <c r="R30" s="86"/>
      <c r="S30" s="86"/>
      <c r="T30" s="86"/>
      <c r="U30" s="86"/>
      <c r="V30" s="85" t="str">
        <f>TEXT(附页!V30/86400,"hh:mm:ss")</f>
        <v>00:00:00</v>
      </c>
      <c r="W30" s="86"/>
      <c r="X30" s="86"/>
      <c r="Y30" s="86"/>
      <c r="Z30" s="86"/>
      <c r="AA30" s="85" t="str">
        <f>TEXT(附页!AA30/86400,"hh:mm:ss")</f>
        <v>00:00:00</v>
      </c>
      <c r="AB30" s="86"/>
      <c r="AC30" s="86"/>
      <c r="AD30" s="86"/>
      <c r="AE30" s="86"/>
      <c r="AF30" s="85" t="str">
        <f>TEXT(附页!AF30/86400,"hh:mm:ss")</f>
        <v>00:00:00</v>
      </c>
      <c r="AG30" s="86"/>
      <c r="AH30" s="86"/>
      <c r="AI30" s="86"/>
      <c r="AJ30" s="86"/>
      <c r="AK30" s="45"/>
      <c r="AL30" s="46"/>
      <c r="AM30" s="45"/>
      <c r="AN30" s="45"/>
      <c r="AO30" s="45"/>
      <c r="AP30" s="28"/>
      <c r="AQ30" s="28"/>
    </row>
    <row r="31" spans="1:44" ht="13.95" customHeight="1" x14ac:dyDescent="0.25">
      <c r="AK31" s="46"/>
      <c r="AL31" s="46"/>
      <c r="AM31" s="46"/>
      <c r="AN31" s="46"/>
      <c r="AO31" s="46"/>
      <c r="AP31" s="28"/>
      <c r="AQ31" s="28"/>
    </row>
    <row r="32" spans="1:44" ht="13.95" customHeight="1" x14ac:dyDescent="0.25">
      <c r="A32" s="58" t="s">
        <v>53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46"/>
      <c r="AL32" s="46"/>
      <c r="AM32" s="46"/>
      <c r="AN32" s="46"/>
      <c r="AO32" s="46"/>
      <c r="AP32" s="28"/>
      <c r="AQ32" s="28"/>
    </row>
    <row r="33" spans="1:44" ht="13.5" customHeight="1" x14ac:dyDescent="0.25">
      <c r="A33" s="86" t="s">
        <v>54</v>
      </c>
      <c r="B33" s="86"/>
      <c r="C33" s="86"/>
      <c r="D33" s="86"/>
      <c r="E33" s="86"/>
      <c r="F33" s="86"/>
      <c r="G33" s="86">
        <f>附页!G33</f>
        <v>0</v>
      </c>
      <c r="H33" s="86"/>
      <c r="I33" s="86"/>
      <c r="J33" s="86"/>
      <c r="K33" s="86"/>
      <c r="L33" s="86"/>
      <c r="M33" s="86" t="s">
        <v>55</v>
      </c>
      <c r="N33" s="86"/>
      <c r="O33" s="86"/>
      <c r="P33" s="86"/>
      <c r="Q33" s="86"/>
      <c r="R33" s="86"/>
      <c r="S33" s="86">
        <f>附页!S33</f>
        <v>0</v>
      </c>
      <c r="T33" s="86"/>
      <c r="U33" s="86"/>
      <c r="V33" s="86"/>
      <c r="W33" s="86"/>
      <c r="X33" s="86"/>
      <c r="Y33" s="86" t="s">
        <v>56</v>
      </c>
      <c r="Z33" s="86"/>
      <c r="AA33" s="86"/>
      <c r="AB33" s="86"/>
      <c r="AC33" s="86"/>
      <c r="AD33" s="86"/>
      <c r="AE33" s="86">
        <f>附页!AE33</f>
        <v>0</v>
      </c>
      <c r="AF33" s="86"/>
      <c r="AG33" s="86"/>
      <c r="AH33" s="86"/>
      <c r="AI33" s="86"/>
      <c r="AJ33" s="86"/>
      <c r="AK33" s="46"/>
      <c r="AL33" s="46"/>
      <c r="AM33" s="46"/>
      <c r="AN33" s="46"/>
      <c r="AO33" s="46"/>
      <c r="AP33" s="28"/>
      <c r="AQ33" s="28"/>
    </row>
    <row r="34" spans="1:44" s="32" customFormat="1" ht="12.6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46"/>
      <c r="AL34" s="46"/>
      <c r="AM34" s="46"/>
      <c r="AN34" s="46"/>
      <c r="AO34" s="46"/>
      <c r="AP34" s="28"/>
      <c r="AQ34" s="28"/>
    </row>
    <row r="35" spans="1:44" ht="12" customHeight="1" x14ac:dyDescent="0.25">
      <c r="AK35" s="46"/>
      <c r="AL35" s="46"/>
      <c r="AM35" s="46"/>
      <c r="AN35" s="46"/>
      <c r="AO35" s="46"/>
      <c r="AP35" s="28"/>
      <c r="AQ35" s="28"/>
    </row>
    <row r="36" spans="1:44" s="32" customFormat="1" ht="15.6" x14ac:dyDescent="0.25">
      <c r="A36" s="63" t="s">
        <v>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28"/>
      <c r="AL36" s="28"/>
      <c r="AM36" s="28"/>
      <c r="AN36" s="28"/>
      <c r="AO36" s="28"/>
      <c r="AP36" s="28"/>
      <c r="AQ36" s="28"/>
      <c r="AR36" s="2"/>
    </row>
    <row r="37" spans="1:44" ht="12" customHeight="1" x14ac:dyDescent="0.25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28"/>
      <c r="AL37" s="28"/>
      <c r="AM37" s="28"/>
      <c r="AN37" s="28"/>
      <c r="AO37" s="28"/>
      <c r="AP37" s="28"/>
      <c r="AQ37" s="28"/>
    </row>
    <row r="38" spans="1:44" s="32" customFormat="1" ht="12.4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8"/>
      <c r="AL38" s="28"/>
      <c r="AM38" s="28"/>
      <c r="AN38" s="28"/>
      <c r="AO38" s="28"/>
      <c r="AP38" s="28"/>
      <c r="AQ38" s="28"/>
      <c r="AR38" s="2"/>
    </row>
    <row r="39" spans="1:44" s="32" customFormat="1" ht="15.45" customHeight="1" x14ac:dyDescent="0.25">
      <c r="A39" s="34">
        <v>1</v>
      </c>
      <c r="B39" s="52" t="s">
        <v>58</v>
      </c>
      <c r="C39" s="52"/>
      <c r="D39" s="52"/>
      <c r="E39" s="52"/>
      <c r="F39" s="52"/>
      <c r="G39" s="52"/>
      <c r="H39" s="52"/>
      <c r="I39" s="52"/>
      <c r="J39" s="99">
        <f>附页!J39</f>
        <v>90</v>
      </c>
      <c r="K39" s="100"/>
      <c r="L39" s="18" t="s">
        <v>59</v>
      </c>
      <c r="M39" s="7"/>
      <c r="N39" s="7"/>
      <c r="O39" s="7"/>
      <c r="P39" s="7"/>
      <c r="Q39" s="7"/>
      <c r="R39" s="7"/>
      <c r="S39" s="7"/>
      <c r="T39" s="7"/>
      <c r="U39" s="7"/>
      <c r="V39" s="18"/>
      <c r="W39" s="18"/>
      <c r="X39" s="52"/>
      <c r="Y39" s="52"/>
      <c r="Z39" s="18"/>
      <c r="AA39" s="2"/>
      <c r="AB39" s="2"/>
      <c r="AC39" s="18"/>
      <c r="AD39" s="18"/>
      <c r="AE39" s="18"/>
      <c r="AF39" s="18"/>
      <c r="AG39" s="18"/>
      <c r="AH39" s="18"/>
      <c r="AI39" s="28"/>
      <c r="AJ39" s="47"/>
      <c r="AK39" s="28"/>
      <c r="AL39" s="28"/>
      <c r="AM39" s="28"/>
      <c r="AN39" s="28"/>
      <c r="AO39" s="28"/>
      <c r="AP39" s="2"/>
    </row>
    <row r="40" spans="1:44" ht="12.45" customHeight="1" x14ac:dyDescent="0.25">
      <c r="B40" s="15"/>
      <c r="C40" s="15"/>
      <c r="D40" s="15"/>
      <c r="E40" s="15"/>
      <c r="F40" s="15"/>
      <c r="G40" s="15"/>
      <c r="H40" s="15"/>
      <c r="I40" s="15"/>
      <c r="J40" s="15"/>
      <c r="K40" s="17"/>
      <c r="L40" s="17"/>
      <c r="M40" s="17"/>
      <c r="N40" s="18"/>
      <c r="X40" s="15"/>
      <c r="Y40" s="15"/>
      <c r="Z40" s="15"/>
      <c r="AA40" s="15"/>
      <c r="AB40" s="18"/>
      <c r="AE40" s="18"/>
      <c r="AF40" s="18"/>
      <c r="AG40" s="18"/>
      <c r="AH40" s="18"/>
      <c r="AI40" s="18"/>
      <c r="AJ40" s="18"/>
      <c r="AK40"/>
      <c r="AL40"/>
      <c r="AM40"/>
      <c r="AN40"/>
      <c r="AO40"/>
      <c r="AP40"/>
      <c r="AQ40"/>
    </row>
    <row r="41" spans="1:44" ht="14.4" x14ac:dyDescent="0.25">
      <c r="A41" s="34">
        <v>2</v>
      </c>
      <c r="B41" s="53" t="s">
        <v>60</v>
      </c>
      <c r="C41" s="53"/>
      <c r="D41" s="53"/>
      <c r="E41" s="96">
        <f>AH10</f>
        <v>12</v>
      </c>
      <c r="F41" s="96"/>
      <c r="G41" s="96"/>
      <c r="H41" s="50" t="str">
        <f>IF(E41&lt;5,"，基本正常范围。",IF(E41&lt;15,"。",IF(E41&lt;30,"。","。")))</f>
        <v>。</v>
      </c>
      <c r="I41" s="50"/>
      <c r="J41" s="50"/>
      <c r="K41" s="50"/>
      <c r="L41" s="50"/>
      <c r="M41" s="50"/>
      <c r="N41" s="50"/>
      <c r="O41" s="50"/>
      <c r="P41" s="7"/>
      <c r="Q41" s="7"/>
      <c r="R41" s="18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K41"/>
      <c r="AL41"/>
      <c r="AM41"/>
      <c r="AN41"/>
      <c r="AO41"/>
      <c r="AP41"/>
      <c r="AQ41"/>
    </row>
    <row r="42" spans="1:44" s="32" customFormat="1" ht="12.45" customHeight="1" x14ac:dyDescent="0.25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/>
      <c r="AL42"/>
      <c r="AM42"/>
      <c r="AN42"/>
      <c r="AO42"/>
      <c r="AP42"/>
      <c r="AQ42"/>
      <c r="AR42" s="2"/>
    </row>
    <row r="43" spans="1:44" ht="15.6" x14ac:dyDescent="0.25">
      <c r="A43" s="34">
        <v>3</v>
      </c>
      <c r="B43" s="97" t="s">
        <v>61</v>
      </c>
      <c r="C43" s="97"/>
      <c r="D43" s="97" t="str">
        <f>IF(E41&lt;5,"无",IF(E41&lt;15,"轻度",IF(E41&lt;30,"中度","重度")))</f>
        <v>轻度</v>
      </c>
      <c r="E43" s="97"/>
      <c r="F43" s="97" t="s">
        <v>62</v>
      </c>
      <c r="G43" s="97"/>
      <c r="H43" s="97"/>
      <c r="I43" s="97"/>
      <c r="J43" s="97"/>
      <c r="K43" s="97"/>
      <c r="L43" s="97" t="s">
        <v>63</v>
      </c>
      <c r="M43" s="97"/>
      <c r="N43" s="97" t="str">
        <f>IF(J39&lt;80%,"重度",IF(J39&lt;85%,"中度",IF(J39&lt;90%,"轻度","无")))</f>
        <v>无</v>
      </c>
      <c r="O43" s="97"/>
      <c r="P43" s="98" t="s">
        <v>64</v>
      </c>
      <c r="Q43" s="98"/>
      <c r="R43" s="98"/>
      <c r="S43" s="98"/>
      <c r="T43" s="98"/>
      <c r="U43" s="19"/>
      <c r="V43" s="19"/>
      <c r="W43" s="19"/>
      <c r="X43" s="19"/>
      <c r="Y43" s="18"/>
      <c r="Z43" s="18"/>
      <c r="AA43" s="18"/>
      <c r="AB43" s="18"/>
      <c r="AC43" s="18"/>
      <c r="AD43" s="18"/>
      <c r="AE43" s="18"/>
      <c r="AF43" s="22"/>
      <c r="AG43" s="22"/>
      <c r="AH43" s="18"/>
      <c r="AI43"/>
      <c r="AJ43"/>
      <c r="AK43"/>
      <c r="AL43"/>
      <c r="AM43"/>
      <c r="AN43"/>
      <c r="AO43"/>
    </row>
    <row r="44" spans="1:44" s="32" customFormat="1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7"/>
      <c r="P44" s="7"/>
      <c r="Q44" s="7"/>
      <c r="R44" s="7"/>
      <c r="S44" s="7"/>
      <c r="T44" s="7"/>
      <c r="U44" s="7"/>
      <c r="V44" s="7"/>
      <c r="W44" s="7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/>
      <c r="AL44"/>
      <c r="AM44"/>
      <c r="AN44"/>
      <c r="AO44"/>
      <c r="AP44"/>
      <c r="AQ44"/>
      <c r="AR44" s="2"/>
    </row>
    <row r="45" spans="1:44" s="32" customFormat="1" ht="15.6" x14ac:dyDescent="0.2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/>
      <c r="AL45"/>
      <c r="AM45"/>
      <c r="AN45"/>
      <c r="AO45"/>
      <c r="AP45"/>
      <c r="AQ45"/>
      <c r="AR45" s="2"/>
    </row>
    <row r="46" spans="1:44" s="32" customFormat="1" ht="15.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/>
      <c r="AL46"/>
      <c r="AM46"/>
      <c r="AN46"/>
      <c r="AO46"/>
      <c r="AP46"/>
      <c r="AQ46"/>
      <c r="AR46" s="2"/>
    </row>
    <row r="47" spans="1:44" s="32" customFormat="1" ht="15.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92" t="str">
        <f>附页!AG47</f>
        <v>吴碧雯</v>
      </c>
      <c r="AH47" s="53"/>
      <c r="AI47" s="53"/>
      <c r="AJ47" s="53"/>
      <c r="AK47"/>
      <c r="AL47"/>
      <c r="AM47"/>
      <c r="AN47"/>
      <c r="AO47"/>
      <c r="AP47"/>
      <c r="AQ47"/>
      <c r="AR47" s="2"/>
    </row>
    <row r="48" spans="1:44" ht="13.95" customHeight="1" x14ac:dyDescent="0.25"/>
    <row r="49" spans="1:44" x14ac:dyDescent="0.25">
      <c r="AF49" s="93" t="e">
        <f>附页!AF49</f>
        <v>#VALUE!</v>
      </c>
      <c r="AG49" s="93"/>
      <c r="AH49" s="93"/>
      <c r="AI49" s="93"/>
      <c r="AJ49" s="93"/>
    </row>
    <row r="50" spans="1:44" s="32" customFormat="1" ht="15.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ht="13.95" customHeight="1" x14ac:dyDescent="0.25"/>
    <row r="52" spans="1:44" ht="13.95" customHeight="1" x14ac:dyDescent="0.25"/>
    <row r="53" spans="1:44" ht="13.95" customHeight="1" x14ac:dyDescent="0.25"/>
    <row r="54" spans="1:44" ht="13.95" customHeight="1" x14ac:dyDescent="0.25"/>
    <row r="55" spans="1:44" ht="13.95" customHeight="1" x14ac:dyDescent="0.25"/>
    <row r="56" spans="1:44" ht="13.95" customHeight="1" x14ac:dyDescent="0.25"/>
    <row r="57" spans="1:44" ht="13.95" customHeight="1" x14ac:dyDescent="0.25"/>
    <row r="58" spans="1:44" ht="13.95" customHeight="1" x14ac:dyDescent="0.25"/>
    <row r="59" spans="1:44" ht="13.95" customHeight="1" x14ac:dyDescent="0.25"/>
    <row r="60" spans="1:44" ht="13.95" customHeight="1" x14ac:dyDescent="0.25"/>
    <row r="61" spans="1:44" ht="13.95" customHeight="1" x14ac:dyDescent="0.25"/>
  </sheetData>
  <mergeCells count="170">
    <mergeCell ref="A45:AJ45"/>
    <mergeCell ref="AG47:AJ47"/>
    <mergeCell ref="AF49:AJ49"/>
    <mergeCell ref="G6:I8"/>
    <mergeCell ref="A36:AJ37"/>
    <mergeCell ref="B41:D41"/>
    <mergeCell ref="E41:G41"/>
    <mergeCell ref="H41:O41"/>
    <mergeCell ref="B43:C43"/>
    <mergeCell ref="D43:E43"/>
    <mergeCell ref="F43:K43"/>
    <mergeCell ref="L43:M43"/>
    <mergeCell ref="N43:O43"/>
    <mergeCell ref="P43:T43"/>
    <mergeCell ref="A32:AJ32"/>
    <mergeCell ref="A33:F33"/>
    <mergeCell ref="G33:L33"/>
    <mergeCell ref="M33:R33"/>
    <mergeCell ref="S33:X33"/>
    <mergeCell ref="Y33:AD33"/>
    <mergeCell ref="AE33:AJ33"/>
    <mergeCell ref="B39:I39"/>
    <mergeCell ref="J39:K39"/>
    <mergeCell ref="X39:Y39"/>
    <mergeCell ref="A29:F29"/>
    <mergeCell ref="G29:K29"/>
    <mergeCell ref="L29:P29"/>
    <mergeCell ref="Q29:U29"/>
    <mergeCell ref="V29:Z29"/>
    <mergeCell ref="AA29:AE29"/>
    <mergeCell ref="AF29:AJ29"/>
    <mergeCell ref="A30:F30"/>
    <mergeCell ref="G30:K30"/>
    <mergeCell ref="L30:P30"/>
    <mergeCell ref="Q30:U30"/>
    <mergeCell ref="V30:Z30"/>
    <mergeCell ref="AA30:AE30"/>
    <mergeCell ref="AF30:AJ30"/>
    <mergeCell ref="A27:F27"/>
    <mergeCell ref="G27:K27"/>
    <mergeCell ref="L27:P27"/>
    <mergeCell ref="Q27:U27"/>
    <mergeCell ref="V27:Z27"/>
    <mergeCell ref="AA27:AE27"/>
    <mergeCell ref="AF27:AJ27"/>
    <mergeCell ref="A28:F28"/>
    <mergeCell ref="G28:K28"/>
    <mergeCell ref="L28:P28"/>
    <mergeCell ref="Q28:U28"/>
    <mergeCell ref="V28:Z28"/>
    <mergeCell ref="AA28:AE28"/>
    <mergeCell ref="AF28:AJ28"/>
    <mergeCell ref="AH24:AJ24"/>
    <mergeCell ref="A25:F25"/>
    <mergeCell ref="G25:K25"/>
    <mergeCell ref="L25:P25"/>
    <mergeCell ref="Q25:U25"/>
    <mergeCell ref="V25:Z25"/>
    <mergeCell ref="AA25:AE25"/>
    <mergeCell ref="AF25:AJ25"/>
    <mergeCell ref="A26:F26"/>
    <mergeCell ref="G26:K26"/>
    <mergeCell ref="L26:P26"/>
    <mergeCell ref="Q26:U26"/>
    <mergeCell ref="V26:Z26"/>
    <mergeCell ref="AA26:AE26"/>
    <mergeCell ref="AF26:AJ26"/>
    <mergeCell ref="A24:C24"/>
    <mergeCell ref="D24:E24"/>
    <mergeCell ref="G24:L24"/>
    <mergeCell ref="M24:N24"/>
    <mergeCell ref="P24:S24"/>
    <mergeCell ref="T24:U24"/>
    <mergeCell ref="W24:AA24"/>
    <mergeCell ref="AB24:AC24"/>
    <mergeCell ref="AE24:AG24"/>
    <mergeCell ref="A21:F21"/>
    <mergeCell ref="G21:J21"/>
    <mergeCell ref="K21:O21"/>
    <mergeCell ref="P21:R21"/>
    <mergeCell ref="S21:X21"/>
    <mergeCell ref="Y21:AA21"/>
    <mergeCell ref="AB21:AG21"/>
    <mergeCell ref="AH21:AJ21"/>
    <mergeCell ref="A23:AJ23"/>
    <mergeCell ref="A19:F19"/>
    <mergeCell ref="G19:L19"/>
    <mergeCell ref="M19:R19"/>
    <mergeCell ref="S19:X19"/>
    <mergeCell ref="Y19:AD19"/>
    <mergeCell ref="AE19:AJ19"/>
    <mergeCell ref="A20:F20"/>
    <mergeCell ref="G20:L20"/>
    <mergeCell ref="M20:R20"/>
    <mergeCell ref="S20:X20"/>
    <mergeCell ref="Y20:AD20"/>
    <mergeCell ref="AE20:AJ20"/>
    <mergeCell ref="A17:F17"/>
    <mergeCell ref="G17:L17"/>
    <mergeCell ref="M17:R17"/>
    <mergeCell ref="S17:X17"/>
    <mergeCell ref="Y17:AD17"/>
    <mergeCell ref="AE17:AJ17"/>
    <mergeCell ref="A18:F18"/>
    <mergeCell ref="G18:L18"/>
    <mergeCell ref="M18:R18"/>
    <mergeCell ref="S18:X18"/>
    <mergeCell ref="Y18:AD18"/>
    <mergeCell ref="AE18:AJ18"/>
    <mergeCell ref="A15:F15"/>
    <mergeCell ref="G15:L15"/>
    <mergeCell ref="M15:R15"/>
    <mergeCell ref="S15:X15"/>
    <mergeCell ref="Y15:AD15"/>
    <mergeCell ref="AE15:AJ15"/>
    <mergeCell ref="A16:F16"/>
    <mergeCell ref="G16:L16"/>
    <mergeCell ref="M16:R16"/>
    <mergeCell ref="S16:X16"/>
    <mergeCell ref="Y16:AD16"/>
    <mergeCell ref="AE16:AJ16"/>
    <mergeCell ref="D12:G12"/>
    <mergeCell ref="H12:I12"/>
    <mergeCell ref="J12:P12"/>
    <mergeCell ref="Q12:T12"/>
    <mergeCell ref="U12:Y12"/>
    <mergeCell ref="Z12:AB12"/>
    <mergeCell ref="D13:G13"/>
    <mergeCell ref="H13:I13"/>
    <mergeCell ref="J13:P13"/>
    <mergeCell ref="Q13:T13"/>
    <mergeCell ref="U13:Y13"/>
    <mergeCell ref="Z13:AB13"/>
    <mergeCell ref="D10:J10"/>
    <mergeCell ref="K10:N10"/>
    <mergeCell ref="O10:Q10"/>
    <mergeCell ref="R10:U10"/>
    <mergeCell ref="V10:AB10"/>
    <mergeCell ref="AC10:AD10"/>
    <mergeCell ref="AF10:AG10"/>
    <mergeCell ref="AH10:AJ10"/>
    <mergeCell ref="D11:I11"/>
    <mergeCell ref="J11:M11"/>
    <mergeCell ref="N11:P11"/>
    <mergeCell ref="Q11:T11"/>
    <mergeCell ref="U11:AA11"/>
    <mergeCell ref="AB11:AC11"/>
    <mergeCell ref="A7:C7"/>
    <mergeCell ref="D7:F7"/>
    <mergeCell ref="K7:N7"/>
    <mergeCell ref="O7:R7"/>
    <mergeCell ref="S7:V7"/>
    <mergeCell ref="W7:AA7"/>
    <mergeCell ref="AB7:AE7"/>
    <mergeCell ref="AF7:AJ7"/>
    <mergeCell ref="A9:AJ9"/>
    <mergeCell ref="A1:AJ1"/>
    <mergeCell ref="A3:AJ3"/>
    <mergeCell ref="A5:C5"/>
    <mergeCell ref="D5:G5"/>
    <mergeCell ref="H5:J5"/>
    <mergeCell ref="K5:M5"/>
    <mergeCell ref="N5:P5"/>
    <mergeCell ref="Q5:S5"/>
    <mergeCell ref="T5:V5"/>
    <mergeCell ref="W5:Y5"/>
    <mergeCell ref="Z5:AA5"/>
    <mergeCell ref="AC5:AE5"/>
    <mergeCell ref="AF5:AH5"/>
    <mergeCell ref="AI5:AJ5"/>
  </mergeCells>
  <phoneticPr fontId="14" type="noConversion"/>
  <dataValidations count="3">
    <dataValidation type="list" allowBlank="1" showInputMessage="1" showErrorMessage="1" sqref="K5:M5" xr:uid="{00000000-0002-0000-0000-000000000000}">
      <formula1>"男,女"</formula1>
    </dataValidation>
    <dataValidation type="list" allowBlank="1" showInputMessage="1" showErrorMessage="1" sqref="V43:X43" xr:uid="{00000000-0002-0000-0000-000001000000}">
      <formula1>"轻度。,中度。,重度。"</formula1>
    </dataValidation>
    <dataValidation type="list" allowBlank="1" showInputMessage="1" showErrorMessage="1" sqref="U41:W42 O41:T42" xr:uid="{00000000-0002-0000-0000-000002000000}">
      <formula1>"血氧波动正常范围。,为阻塞性低通气，,为阻塞性呼吸暂停，,为中枢性呼吸暂停，"</formula1>
    </dataValidation>
  </dataValidations>
  <pageMargins left="0.7" right="0.61458333333333304" top="0.76041666666666696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49"/>
  <sheetViews>
    <sheetView tabSelected="1" workbookViewId="0">
      <selection activeCell="AN13" sqref="AN13"/>
    </sheetView>
  </sheetViews>
  <sheetFormatPr defaultColWidth="9" defaultRowHeight="14.4" x14ac:dyDescent="0.25"/>
  <cols>
    <col min="1" max="8" width="2.5546875" customWidth="1"/>
    <col min="9" max="9" width="3.21875" customWidth="1"/>
    <col min="10" max="36" width="2.5546875" customWidth="1"/>
  </cols>
  <sheetData>
    <row r="1" spans="1:37" ht="17.399999999999999" x14ac:dyDescent="0.25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3"/>
    </row>
    <row r="2" spans="1:37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3"/>
    </row>
    <row r="3" spans="1:37" ht="17.399999999999999" x14ac:dyDescent="0.25">
      <c r="A3" s="104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105"/>
    </row>
    <row r="4" spans="1:37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3"/>
    </row>
    <row r="5" spans="1:37" x14ac:dyDescent="0.25">
      <c r="A5" s="106" t="s">
        <v>2</v>
      </c>
      <c r="B5" s="50"/>
      <c r="C5" s="50"/>
      <c r="D5" s="50"/>
      <c r="E5" s="51"/>
      <c r="F5" s="51"/>
      <c r="G5" s="51"/>
      <c r="H5" s="50" t="s">
        <v>3</v>
      </c>
      <c r="I5" s="51"/>
      <c r="J5" s="51"/>
      <c r="K5" s="50" t="s">
        <v>65</v>
      </c>
      <c r="L5" s="50"/>
      <c r="M5" s="50"/>
      <c r="N5" s="52" t="s">
        <v>4</v>
      </c>
      <c r="O5" s="53"/>
      <c r="P5" s="53"/>
      <c r="Q5" s="53">
        <v>50</v>
      </c>
      <c r="R5" s="53"/>
      <c r="S5" s="53"/>
      <c r="T5" s="54" t="s">
        <v>5</v>
      </c>
      <c r="U5" s="55"/>
      <c r="V5" s="55"/>
      <c r="W5" s="53">
        <v>170</v>
      </c>
      <c r="X5" s="53"/>
      <c r="Y5" s="53"/>
      <c r="Z5" s="51" t="s">
        <v>6</v>
      </c>
      <c r="AA5" s="51"/>
      <c r="AB5" s="3"/>
      <c r="AC5" s="54" t="s">
        <v>7</v>
      </c>
      <c r="AD5" s="54"/>
      <c r="AE5" s="54"/>
      <c r="AF5" s="53">
        <v>91</v>
      </c>
      <c r="AG5" s="53"/>
      <c r="AH5" s="53"/>
      <c r="AI5" s="51" t="s">
        <v>8</v>
      </c>
      <c r="AJ5" s="107"/>
    </row>
    <row r="6" spans="1:37" x14ac:dyDescent="0.25">
      <c r="A6" s="4"/>
      <c r="B6" s="3"/>
      <c r="C6" s="3"/>
      <c r="D6" s="3"/>
      <c r="E6" s="3"/>
      <c r="F6" s="3"/>
      <c r="G6" s="94" t="s">
        <v>9</v>
      </c>
      <c r="H6" s="94"/>
      <c r="I6" s="9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24"/>
    </row>
    <row r="7" spans="1:37" x14ac:dyDescent="0.25">
      <c r="A7" s="108" t="s">
        <v>10</v>
      </c>
      <c r="B7" s="51"/>
      <c r="C7" s="51"/>
      <c r="D7" s="56">
        <f>AF5/((W5/100)*(W5/100))</f>
        <v>31.487889273356405</v>
      </c>
      <c r="E7" s="56"/>
      <c r="F7" s="56"/>
      <c r="G7" s="94"/>
      <c r="H7" s="94"/>
      <c r="I7" s="94"/>
      <c r="J7" s="3"/>
      <c r="K7" s="52" t="s">
        <v>11</v>
      </c>
      <c r="L7" s="52"/>
      <c r="M7" s="52"/>
      <c r="N7" s="52"/>
      <c r="O7" s="51">
        <v>6057504</v>
      </c>
      <c r="P7" s="51"/>
      <c r="Q7" s="51"/>
      <c r="R7" s="51"/>
      <c r="S7" s="54" t="s">
        <v>12</v>
      </c>
      <c r="T7" s="54"/>
      <c r="U7" s="54"/>
      <c r="V7" s="54"/>
      <c r="W7" s="51" t="s">
        <v>66</v>
      </c>
      <c r="X7" s="51"/>
      <c r="Y7" s="51"/>
      <c r="Z7" s="51"/>
      <c r="AA7" s="51"/>
      <c r="AB7" s="52" t="s">
        <v>13</v>
      </c>
      <c r="AC7" s="53"/>
      <c r="AD7" s="53"/>
      <c r="AE7" s="53"/>
      <c r="AF7" s="109" t="e">
        <f>LEFT(AK7, FIND(" ",AK7) - 1)</f>
        <v>#VALUE!</v>
      </c>
      <c r="AG7" s="109"/>
      <c r="AH7" s="109"/>
      <c r="AI7" s="109"/>
      <c r="AJ7" s="110"/>
      <c r="AK7" s="131"/>
    </row>
    <row r="8" spans="1:37" x14ac:dyDescent="0.25">
      <c r="A8" s="1"/>
      <c r="B8" s="2"/>
      <c r="C8" s="2"/>
      <c r="D8" s="2"/>
      <c r="E8" s="2"/>
      <c r="F8" s="2"/>
      <c r="G8" s="94"/>
      <c r="H8" s="94"/>
      <c r="I8" s="9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3"/>
    </row>
    <row r="9" spans="1:37" x14ac:dyDescent="0.25">
      <c r="A9" s="111" t="s">
        <v>14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</row>
    <row r="10" spans="1:37" x14ac:dyDescent="0.25">
      <c r="A10" s="6"/>
      <c r="B10" s="7"/>
      <c r="C10" s="7"/>
      <c r="D10" s="113" t="s">
        <v>15</v>
      </c>
      <c r="E10" s="113"/>
      <c r="F10" s="113"/>
      <c r="G10" s="113"/>
      <c r="H10" s="113"/>
      <c r="I10" s="113"/>
      <c r="J10" s="113"/>
      <c r="K10" s="114"/>
      <c r="L10" s="68"/>
      <c r="M10" s="68"/>
      <c r="N10" s="68"/>
      <c r="O10" s="52" t="s">
        <v>16</v>
      </c>
      <c r="P10" s="52"/>
      <c r="Q10" s="52"/>
      <c r="R10" s="62">
        <v>521</v>
      </c>
      <c r="S10" s="62"/>
      <c r="T10" s="62"/>
      <c r="U10" s="62"/>
      <c r="V10" s="62" t="s">
        <v>17</v>
      </c>
      <c r="W10" s="62"/>
      <c r="X10" s="62"/>
      <c r="Y10" s="62"/>
      <c r="Z10" s="62"/>
      <c r="AA10" s="62"/>
      <c r="AB10" s="62"/>
      <c r="AC10" s="20"/>
      <c r="AD10" s="20" t="s">
        <v>18</v>
      </c>
      <c r="AE10" s="115" t="s">
        <v>19</v>
      </c>
      <c r="AF10" s="115"/>
      <c r="AG10" s="115"/>
      <c r="AH10" s="116">
        <v>12</v>
      </c>
      <c r="AI10" s="116"/>
      <c r="AJ10" s="117"/>
    </row>
    <row r="11" spans="1:37" x14ac:dyDescent="0.25">
      <c r="A11" s="6"/>
      <c r="B11" s="7"/>
      <c r="C11" s="7"/>
      <c r="D11" s="60" t="s">
        <v>20</v>
      </c>
      <c r="E11" s="60"/>
      <c r="F11" s="60"/>
      <c r="G11" s="60"/>
      <c r="H11" s="60"/>
      <c r="I11" s="60"/>
      <c r="J11" s="62"/>
      <c r="K11" s="62"/>
      <c r="L11" s="62"/>
      <c r="M11" s="62"/>
      <c r="N11" s="62" t="s">
        <v>16</v>
      </c>
      <c r="O11" s="62"/>
      <c r="P11" s="62"/>
      <c r="Q11" s="62"/>
      <c r="R11" s="62"/>
      <c r="S11" s="62"/>
      <c r="T11" s="62"/>
      <c r="U11" s="62" t="s">
        <v>17</v>
      </c>
      <c r="V11" s="62"/>
      <c r="W11" s="62"/>
      <c r="X11" s="62"/>
      <c r="Y11" s="62"/>
      <c r="Z11" s="62"/>
      <c r="AA11" s="62"/>
      <c r="AB11" s="20"/>
      <c r="AC11" s="20" t="s">
        <v>18</v>
      </c>
      <c r="AD11" s="20"/>
      <c r="AE11" s="7"/>
      <c r="AF11" s="7"/>
      <c r="AG11" s="7"/>
      <c r="AH11" s="7"/>
      <c r="AI11" s="7"/>
      <c r="AJ11" s="25"/>
    </row>
    <row r="12" spans="1:37" x14ac:dyDescent="0.25">
      <c r="A12" s="6"/>
      <c r="B12" s="7"/>
      <c r="C12" s="7"/>
      <c r="D12" s="60" t="s">
        <v>21</v>
      </c>
      <c r="E12" s="60"/>
      <c r="F12" s="60"/>
      <c r="G12" s="60"/>
      <c r="H12" s="62"/>
      <c r="I12" s="62"/>
      <c r="J12" s="62" t="s">
        <v>22</v>
      </c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 t="s">
        <v>23</v>
      </c>
      <c r="V12" s="62"/>
      <c r="W12" s="62"/>
      <c r="X12" s="62"/>
      <c r="Y12" s="62"/>
      <c r="Z12" s="62">
        <f>ROUND(Q12/60*100/AK13,2)</f>
        <v>0</v>
      </c>
      <c r="AA12" s="62"/>
      <c r="AB12" s="67"/>
      <c r="AC12" s="20" t="s">
        <v>18</v>
      </c>
      <c r="AD12" s="20"/>
      <c r="AE12" s="7"/>
      <c r="AF12" s="7"/>
      <c r="AG12" s="7"/>
      <c r="AH12" s="7"/>
      <c r="AI12" s="7"/>
      <c r="AJ12" s="25"/>
    </row>
    <row r="13" spans="1:37" x14ac:dyDescent="0.25">
      <c r="A13" s="6"/>
      <c r="B13" s="7"/>
      <c r="C13" s="7"/>
      <c r="D13" s="60" t="s">
        <v>21</v>
      </c>
      <c r="E13" s="60"/>
      <c r="F13" s="60"/>
      <c r="G13" s="60"/>
      <c r="H13" s="62">
        <f>K20</f>
        <v>0</v>
      </c>
      <c r="I13" s="62"/>
      <c r="J13" s="60" t="s">
        <v>24</v>
      </c>
      <c r="K13" s="60"/>
      <c r="L13" s="60"/>
      <c r="M13" s="60"/>
      <c r="N13" s="60"/>
      <c r="O13" s="60"/>
      <c r="P13" s="60"/>
      <c r="Q13" s="62">
        <f>G20</f>
        <v>0</v>
      </c>
      <c r="R13" s="62"/>
      <c r="S13" s="62"/>
      <c r="T13" s="62"/>
      <c r="U13" s="62" t="s">
        <v>23</v>
      </c>
      <c r="V13" s="62"/>
      <c r="W13" s="62"/>
      <c r="X13" s="62"/>
      <c r="Y13" s="62"/>
      <c r="Z13" s="62">
        <f>ROUND(Q13/60*100/AK13,2)</f>
        <v>0</v>
      </c>
      <c r="AA13" s="62"/>
      <c r="AB13" s="62"/>
      <c r="AC13" s="20" t="s">
        <v>18</v>
      </c>
      <c r="AD13" s="20"/>
      <c r="AE13" s="7"/>
      <c r="AF13" s="7"/>
      <c r="AG13" s="7"/>
      <c r="AH13" s="7"/>
      <c r="AI13" s="7"/>
      <c r="AJ13" s="25"/>
      <c r="AK13">
        <v>254</v>
      </c>
    </row>
    <row r="14" spans="1:37" x14ac:dyDescent="0.25">
      <c r="A14" s="8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9"/>
      <c r="AF14" s="9"/>
      <c r="AG14" s="9"/>
      <c r="AH14" s="9"/>
      <c r="AI14" s="9"/>
      <c r="AJ14" s="26"/>
    </row>
    <row r="15" spans="1:37" x14ac:dyDescent="0.25">
      <c r="A15" s="69" t="s">
        <v>25</v>
      </c>
      <c r="B15" s="70"/>
      <c r="C15" s="70"/>
      <c r="D15" s="70"/>
      <c r="E15" s="70"/>
      <c r="F15" s="71"/>
      <c r="G15" s="72" t="s">
        <v>26</v>
      </c>
      <c r="H15" s="70"/>
      <c r="I15" s="70"/>
      <c r="J15" s="70"/>
      <c r="K15" s="70"/>
      <c r="L15" s="71"/>
      <c r="M15" s="72" t="s">
        <v>27</v>
      </c>
      <c r="N15" s="70"/>
      <c r="O15" s="70"/>
      <c r="P15" s="70"/>
      <c r="Q15" s="70"/>
      <c r="R15" s="71"/>
      <c r="S15" s="72" t="s">
        <v>28</v>
      </c>
      <c r="T15" s="70"/>
      <c r="U15" s="70"/>
      <c r="V15" s="70"/>
      <c r="W15" s="70"/>
      <c r="X15" s="71"/>
      <c r="Y15" s="72" t="s">
        <v>29</v>
      </c>
      <c r="Z15" s="70"/>
      <c r="AA15" s="70"/>
      <c r="AB15" s="70"/>
      <c r="AC15" s="70"/>
      <c r="AD15" s="71"/>
      <c r="AE15" s="59" t="s">
        <v>30</v>
      </c>
      <c r="AF15" s="59"/>
      <c r="AG15" s="59"/>
      <c r="AH15" s="59"/>
      <c r="AI15" s="59"/>
      <c r="AJ15" s="59"/>
    </row>
    <row r="16" spans="1:37" x14ac:dyDescent="0.25">
      <c r="A16" s="73" t="s">
        <v>31</v>
      </c>
      <c r="B16" s="74"/>
      <c r="C16" s="74"/>
      <c r="D16" s="74"/>
      <c r="E16" s="74"/>
      <c r="F16" s="75"/>
      <c r="G16" s="76">
        <v>1</v>
      </c>
      <c r="H16" s="74"/>
      <c r="I16" s="74"/>
      <c r="J16" s="74"/>
      <c r="K16" s="74">
        <v>20</v>
      </c>
      <c r="L16" s="75"/>
      <c r="M16" s="76"/>
      <c r="N16" s="74"/>
      <c r="O16" s="74"/>
      <c r="P16" s="74"/>
      <c r="Q16" s="74"/>
      <c r="R16" s="75"/>
      <c r="S16" s="76"/>
      <c r="T16" s="74"/>
      <c r="U16" s="74"/>
      <c r="V16" s="74"/>
      <c r="W16" s="74"/>
      <c r="X16" s="75"/>
      <c r="Y16" s="76"/>
      <c r="Z16" s="74"/>
      <c r="AA16" s="74"/>
      <c r="AB16" s="74"/>
      <c r="AC16" s="74"/>
      <c r="AD16" s="75"/>
      <c r="AE16" s="76"/>
      <c r="AF16" s="74"/>
      <c r="AG16" s="74"/>
      <c r="AH16" s="74"/>
      <c r="AI16" s="118"/>
      <c r="AJ16" s="119"/>
    </row>
    <row r="17" spans="1:36" x14ac:dyDescent="0.25">
      <c r="A17" s="73" t="s">
        <v>32</v>
      </c>
      <c r="B17" s="74"/>
      <c r="C17" s="74"/>
      <c r="D17" s="74"/>
      <c r="E17" s="74"/>
      <c r="F17" s="75"/>
      <c r="G17" s="76"/>
      <c r="H17" s="74"/>
      <c r="I17" s="74"/>
      <c r="J17" s="74"/>
      <c r="K17" s="74"/>
      <c r="L17" s="75"/>
      <c r="M17" s="76"/>
      <c r="N17" s="74"/>
      <c r="O17" s="74"/>
      <c r="P17" s="74"/>
      <c r="Q17" s="74"/>
      <c r="R17" s="75"/>
      <c r="S17" s="76"/>
      <c r="T17" s="74"/>
      <c r="U17" s="74"/>
      <c r="V17" s="74"/>
      <c r="W17" s="74"/>
      <c r="X17" s="75"/>
      <c r="Y17" s="76"/>
      <c r="Z17" s="74"/>
      <c r="AA17" s="74"/>
      <c r="AB17" s="74"/>
      <c r="AC17" s="74"/>
      <c r="AD17" s="75"/>
      <c r="AE17" s="76"/>
      <c r="AF17" s="74"/>
      <c r="AG17" s="74"/>
      <c r="AH17" s="74"/>
      <c r="AI17" s="74"/>
      <c r="AJ17" s="75"/>
    </row>
    <row r="18" spans="1:36" x14ac:dyDescent="0.25">
      <c r="A18" s="73" t="s">
        <v>33</v>
      </c>
      <c r="B18" s="74"/>
      <c r="C18" s="74"/>
      <c r="D18" s="74"/>
      <c r="E18" s="74"/>
      <c r="F18" s="75"/>
      <c r="G18" s="76"/>
      <c r="H18" s="74"/>
      <c r="I18" s="74"/>
      <c r="J18" s="74"/>
      <c r="K18" s="74"/>
      <c r="L18" s="75"/>
      <c r="M18" s="76"/>
      <c r="N18" s="74"/>
      <c r="O18" s="74"/>
      <c r="P18" s="74"/>
      <c r="Q18" s="74"/>
      <c r="R18" s="75"/>
      <c r="S18" s="76"/>
      <c r="T18" s="74"/>
      <c r="U18" s="74"/>
      <c r="V18" s="74"/>
      <c r="W18" s="74"/>
      <c r="X18" s="75"/>
      <c r="Y18" s="76"/>
      <c r="Z18" s="74"/>
      <c r="AA18" s="74"/>
      <c r="AB18" s="74"/>
      <c r="AC18" s="74"/>
      <c r="AD18" s="75"/>
      <c r="AE18" s="76"/>
      <c r="AF18" s="74"/>
      <c r="AG18" s="74"/>
      <c r="AH18" s="74"/>
      <c r="AI18" s="74"/>
      <c r="AJ18" s="75"/>
    </row>
    <row r="19" spans="1:36" x14ac:dyDescent="0.25">
      <c r="A19" s="73" t="s">
        <v>34</v>
      </c>
      <c r="B19" s="74"/>
      <c r="C19" s="74"/>
      <c r="D19" s="74"/>
      <c r="E19" s="74"/>
      <c r="F19" s="75"/>
      <c r="G19" s="76">
        <v>0</v>
      </c>
      <c r="H19" s="74"/>
      <c r="I19" s="74"/>
      <c r="J19" s="74"/>
      <c r="K19" s="74">
        <v>0</v>
      </c>
      <c r="L19" s="75"/>
      <c r="M19" s="76">
        <v>0</v>
      </c>
      <c r="N19" s="74"/>
      <c r="O19" s="74"/>
      <c r="P19" s="74"/>
      <c r="Q19" s="74">
        <v>0</v>
      </c>
      <c r="R19" s="75"/>
      <c r="S19" s="76">
        <v>0</v>
      </c>
      <c r="T19" s="74"/>
      <c r="U19" s="74"/>
      <c r="V19" s="74"/>
      <c r="W19" s="74">
        <v>0</v>
      </c>
      <c r="X19" s="75"/>
      <c r="Y19" s="76">
        <v>0</v>
      </c>
      <c r="Z19" s="74"/>
      <c r="AA19" s="74"/>
      <c r="AB19" s="74"/>
      <c r="AC19" s="74">
        <v>0</v>
      </c>
      <c r="AD19" s="75"/>
      <c r="AE19" s="76">
        <v>0</v>
      </c>
      <c r="AF19" s="74"/>
      <c r="AG19" s="74"/>
      <c r="AH19" s="74"/>
      <c r="AI19" s="74">
        <v>0</v>
      </c>
      <c r="AJ19" s="75"/>
    </row>
    <row r="20" spans="1:36" x14ac:dyDescent="0.25">
      <c r="A20" s="73" t="s">
        <v>35</v>
      </c>
      <c r="B20" s="74"/>
      <c r="C20" s="74"/>
      <c r="D20" s="74"/>
      <c r="E20" s="74"/>
      <c r="F20" s="75"/>
      <c r="G20" s="76"/>
      <c r="H20" s="74"/>
      <c r="I20" s="74"/>
      <c r="J20" s="74"/>
      <c r="K20" s="74"/>
      <c r="L20" s="75"/>
      <c r="M20" s="76"/>
      <c r="N20" s="74"/>
      <c r="O20" s="74"/>
      <c r="P20" s="74"/>
      <c r="Q20" s="74"/>
      <c r="R20" s="75"/>
      <c r="S20" s="76"/>
      <c r="T20" s="74"/>
      <c r="U20" s="74"/>
      <c r="V20" s="74"/>
      <c r="W20" s="74"/>
      <c r="X20" s="75"/>
      <c r="Y20" s="76"/>
      <c r="Z20" s="74"/>
      <c r="AA20" s="74"/>
      <c r="AB20" s="74"/>
      <c r="AC20" s="74"/>
      <c r="AD20" s="75"/>
      <c r="AE20" s="76"/>
      <c r="AF20" s="74"/>
      <c r="AG20" s="74"/>
      <c r="AH20" s="74"/>
      <c r="AI20" s="74"/>
      <c r="AJ20" s="75"/>
    </row>
    <row r="21" spans="1:36" x14ac:dyDescent="0.25">
      <c r="A21" s="11"/>
      <c r="B21" s="80" t="s">
        <v>36</v>
      </c>
      <c r="C21" s="80"/>
      <c r="D21" s="80"/>
      <c r="E21" s="80"/>
      <c r="F21" s="80"/>
      <c r="G21" s="79"/>
      <c r="H21" s="79"/>
      <c r="I21" s="79"/>
      <c r="J21" s="79"/>
      <c r="K21" s="80" t="s">
        <v>37</v>
      </c>
      <c r="L21" s="80"/>
      <c r="M21" s="80"/>
      <c r="N21" s="80"/>
      <c r="O21" s="80"/>
      <c r="P21" s="80"/>
      <c r="Q21" s="80"/>
      <c r="R21" s="80"/>
      <c r="S21" s="80" t="s">
        <v>38</v>
      </c>
      <c r="T21" s="80"/>
      <c r="U21" s="80"/>
      <c r="V21" s="80"/>
      <c r="W21" s="80"/>
      <c r="X21" s="80"/>
      <c r="Y21" s="80"/>
      <c r="Z21" s="80"/>
      <c r="AA21" s="80"/>
      <c r="AB21" s="78" t="s">
        <v>39</v>
      </c>
      <c r="AC21" s="78"/>
      <c r="AD21" s="78"/>
      <c r="AE21" s="78"/>
      <c r="AF21" s="78"/>
      <c r="AG21" s="78"/>
      <c r="AH21" s="80"/>
      <c r="AI21" s="80"/>
      <c r="AJ21" s="81"/>
    </row>
    <row r="22" spans="1:36" x14ac:dyDescent="0.25">
      <c r="A22" s="12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27"/>
    </row>
    <row r="23" spans="1:36" x14ac:dyDescent="0.25">
      <c r="A23" s="58" t="s">
        <v>40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</row>
    <row r="24" spans="1:36" x14ac:dyDescent="0.25">
      <c r="A24" s="87" t="s">
        <v>41</v>
      </c>
      <c r="B24" s="88"/>
      <c r="C24" s="88"/>
      <c r="D24" s="89"/>
      <c r="E24" s="89"/>
      <c r="F24" s="13" t="s">
        <v>18</v>
      </c>
      <c r="G24" s="88" t="s">
        <v>42</v>
      </c>
      <c r="H24" s="88"/>
      <c r="I24" s="88"/>
      <c r="J24" s="88"/>
      <c r="K24" s="88"/>
      <c r="L24" s="88"/>
      <c r="M24" s="89"/>
      <c r="N24" s="89"/>
      <c r="O24" s="13" t="s">
        <v>18</v>
      </c>
      <c r="P24" s="88" t="s">
        <v>43</v>
      </c>
      <c r="Q24" s="88"/>
      <c r="R24" s="88"/>
      <c r="S24" s="88"/>
      <c r="T24" s="89"/>
      <c r="U24" s="89"/>
      <c r="V24" s="13" t="s">
        <v>18</v>
      </c>
      <c r="W24" s="88" t="s">
        <v>44</v>
      </c>
      <c r="X24" s="88"/>
      <c r="Y24" s="88"/>
      <c r="Z24" s="88"/>
      <c r="AA24" s="88"/>
      <c r="AB24" s="89"/>
      <c r="AC24" s="89"/>
      <c r="AD24" s="21" t="s">
        <v>18</v>
      </c>
      <c r="AE24" s="90" t="s">
        <v>45</v>
      </c>
      <c r="AF24" s="90"/>
      <c r="AG24" s="90"/>
      <c r="AH24" s="82">
        <v>0</v>
      </c>
      <c r="AI24" s="83"/>
      <c r="AJ24" s="84"/>
    </row>
    <row r="25" spans="1:36" x14ac:dyDescent="0.25">
      <c r="A25" s="58" t="s">
        <v>46</v>
      </c>
      <c r="B25" s="59"/>
      <c r="C25" s="59"/>
      <c r="D25" s="59"/>
      <c r="E25" s="59"/>
      <c r="F25" s="59"/>
      <c r="G25" s="58" t="s">
        <v>47</v>
      </c>
      <c r="H25" s="59"/>
      <c r="I25" s="59"/>
      <c r="J25" s="59"/>
      <c r="K25" s="59"/>
      <c r="L25" s="58" t="s">
        <v>48</v>
      </c>
      <c r="M25" s="59"/>
      <c r="N25" s="59"/>
      <c r="O25" s="59"/>
      <c r="P25" s="59"/>
      <c r="Q25" s="58" t="s">
        <v>49</v>
      </c>
      <c r="R25" s="59"/>
      <c r="S25" s="59"/>
      <c r="T25" s="59"/>
      <c r="U25" s="59"/>
      <c r="V25" s="58" t="s">
        <v>50</v>
      </c>
      <c r="W25" s="59"/>
      <c r="X25" s="59"/>
      <c r="Y25" s="59"/>
      <c r="Z25" s="59"/>
      <c r="AA25" s="58" t="s">
        <v>51</v>
      </c>
      <c r="AB25" s="59"/>
      <c r="AC25" s="59"/>
      <c r="AD25" s="59"/>
      <c r="AE25" s="59"/>
      <c r="AF25" s="58" t="s">
        <v>52</v>
      </c>
      <c r="AG25" s="59"/>
      <c r="AH25" s="59"/>
      <c r="AI25" s="59"/>
      <c r="AJ25" s="59"/>
    </row>
    <row r="26" spans="1:36" x14ac:dyDescent="0.25">
      <c r="A26" s="73" t="s">
        <v>31</v>
      </c>
      <c r="B26" s="74"/>
      <c r="C26" s="74"/>
      <c r="D26" s="74"/>
      <c r="E26" s="74"/>
      <c r="F26" s="75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>
        <f>SUM(AK26,AL26)</f>
        <v>0</v>
      </c>
      <c r="AG26" s="120"/>
      <c r="AH26" s="120"/>
      <c r="AI26" s="120"/>
      <c r="AJ26" s="120"/>
    </row>
    <row r="27" spans="1:36" x14ac:dyDescent="0.25">
      <c r="A27" s="73" t="s">
        <v>32</v>
      </c>
      <c r="B27" s="74"/>
      <c r="C27" s="74"/>
      <c r="D27" s="74"/>
      <c r="E27" s="74"/>
      <c r="F27" s="75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>
        <f>SUM(AK27,AL27)</f>
        <v>0</v>
      </c>
      <c r="AG27" s="120"/>
      <c r="AH27" s="120"/>
      <c r="AI27" s="120"/>
      <c r="AJ27" s="120"/>
    </row>
    <row r="28" spans="1:36" x14ac:dyDescent="0.25">
      <c r="A28" s="73" t="s">
        <v>33</v>
      </c>
      <c r="B28" s="74"/>
      <c r="C28" s="74"/>
      <c r="D28" s="74"/>
      <c r="E28" s="74"/>
      <c r="F28" s="75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>
        <f>SUM(AK28,AL28)</f>
        <v>0</v>
      </c>
      <c r="AG28" s="120"/>
      <c r="AH28" s="120"/>
      <c r="AI28" s="120"/>
      <c r="AJ28" s="120"/>
    </row>
    <row r="29" spans="1:36" x14ac:dyDescent="0.25">
      <c r="A29" s="73" t="s">
        <v>34</v>
      </c>
      <c r="B29" s="74"/>
      <c r="C29" s="74"/>
      <c r="D29" s="74"/>
      <c r="E29" s="74"/>
      <c r="F29" s="75"/>
      <c r="G29" s="120">
        <v>0</v>
      </c>
      <c r="H29" s="120"/>
      <c r="I29" s="120"/>
      <c r="J29" s="120"/>
      <c r="K29" s="120"/>
      <c r="L29" s="120">
        <v>0</v>
      </c>
      <c r="M29" s="120"/>
      <c r="N29" s="120"/>
      <c r="O29" s="120"/>
      <c r="P29" s="120"/>
      <c r="Q29" s="120">
        <v>0</v>
      </c>
      <c r="R29" s="120"/>
      <c r="S29" s="120"/>
      <c r="T29" s="120"/>
      <c r="U29" s="120"/>
      <c r="V29" s="120">
        <v>0</v>
      </c>
      <c r="W29" s="120"/>
      <c r="X29" s="120"/>
      <c r="Y29" s="120"/>
      <c r="Z29" s="120"/>
      <c r="AA29" s="120">
        <v>0</v>
      </c>
      <c r="AB29" s="120"/>
      <c r="AC29" s="120"/>
      <c r="AD29" s="120"/>
      <c r="AE29" s="120"/>
      <c r="AF29" s="120">
        <v>0</v>
      </c>
      <c r="AG29" s="120"/>
      <c r="AH29" s="120"/>
      <c r="AI29" s="120"/>
      <c r="AJ29" s="120"/>
    </row>
    <row r="30" spans="1:36" x14ac:dyDescent="0.25">
      <c r="A30" s="73" t="s">
        <v>35</v>
      </c>
      <c r="B30" s="74"/>
      <c r="C30" s="74"/>
      <c r="D30" s="74"/>
      <c r="E30" s="74"/>
      <c r="F30" s="75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>
        <f>SUM(AK30,AL30)</f>
        <v>0</v>
      </c>
      <c r="AG30" s="121"/>
      <c r="AH30" s="121"/>
      <c r="AI30" s="121"/>
      <c r="AJ30" s="121"/>
    </row>
    <row r="31" spans="1:36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3"/>
    </row>
    <row r="32" spans="1:36" x14ac:dyDescent="0.25">
      <c r="A32" s="58" t="s">
        <v>53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</row>
    <row r="33" spans="1:36" x14ac:dyDescent="0.25">
      <c r="A33" s="86" t="s">
        <v>54</v>
      </c>
      <c r="B33" s="86"/>
      <c r="C33" s="86"/>
      <c r="D33" s="86"/>
      <c r="E33" s="86"/>
      <c r="F33" s="86"/>
      <c r="G33" s="86">
        <v>0</v>
      </c>
      <c r="H33" s="86"/>
      <c r="I33" s="86"/>
      <c r="J33" s="86"/>
      <c r="K33" s="86"/>
      <c r="L33" s="86"/>
      <c r="M33" s="86" t="s">
        <v>55</v>
      </c>
      <c r="N33" s="86"/>
      <c r="O33" s="86"/>
      <c r="P33" s="86"/>
      <c r="Q33" s="86"/>
      <c r="R33" s="86"/>
      <c r="S33" s="86">
        <v>0</v>
      </c>
      <c r="T33" s="86"/>
      <c r="U33" s="86"/>
      <c r="V33" s="86"/>
      <c r="W33" s="86"/>
      <c r="X33" s="86"/>
      <c r="Y33" s="86" t="s">
        <v>56</v>
      </c>
      <c r="Z33" s="86"/>
      <c r="AA33" s="86"/>
      <c r="AB33" s="86"/>
      <c r="AC33" s="86"/>
      <c r="AD33" s="86"/>
      <c r="AE33" s="86">
        <v>0</v>
      </c>
      <c r="AF33" s="86"/>
      <c r="AG33" s="86"/>
      <c r="AH33" s="86"/>
      <c r="AI33" s="86"/>
      <c r="AJ33" s="86"/>
    </row>
    <row r="34" spans="1:36" x14ac:dyDescent="0.25">
      <c r="A34" s="1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27"/>
    </row>
    <row r="35" spans="1:36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3"/>
    </row>
    <row r="36" spans="1:36" x14ac:dyDescent="0.25">
      <c r="A36" s="127" t="s">
        <v>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128"/>
    </row>
    <row r="37" spans="1:36" x14ac:dyDescent="0.25">
      <c r="A37" s="129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130"/>
    </row>
    <row r="38" spans="1:36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3"/>
    </row>
    <row r="39" spans="1:36" x14ac:dyDescent="0.25">
      <c r="A39" s="1">
        <v>1</v>
      </c>
      <c r="B39" s="52" t="s">
        <v>58</v>
      </c>
      <c r="C39" s="52"/>
      <c r="D39" s="52"/>
      <c r="E39" s="52"/>
      <c r="F39" s="52"/>
      <c r="G39" s="52"/>
      <c r="H39" s="52"/>
      <c r="I39" s="52"/>
      <c r="J39" s="99">
        <v>90</v>
      </c>
      <c r="K39" s="100"/>
      <c r="L39" s="18" t="s">
        <v>18</v>
      </c>
      <c r="M39" s="51" t="str">
        <f>IF(J39&gt;=90,"，血氧波动正常范围。","。")</f>
        <v>，血氧波动正常范围。</v>
      </c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18"/>
      <c r="AA39" s="2"/>
      <c r="AB39" s="2"/>
      <c r="AC39" s="18"/>
      <c r="AD39" s="18"/>
      <c r="AE39" s="18"/>
      <c r="AF39" s="18"/>
      <c r="AG39" s="18"/>
      <c r="AH39" s="18"/>
      <c r="AI39" s="28"/>
      <c r="AJ39" s="29"/>
    </row>
    <row r="40" spans="1:36" x14ac:dyDescent="0.25">
      <c r="A40" s="1"/>
      <c r="B40" s="15"/>
      <c r="C40" s="15"/>
      <c r="D40" s="15"/>
      <c r="E40" s="15"/>
      <c r="F40" s="15"/>
      <c r="G40" s="15"/>
      <c r="H40" s="15"/>
      <c r="I40" s="15"/>
      <c r="J40" s="15"/>
      <c r="K40" s="17"/>
      <c r="L40" s="17"/>
      <c r="M40" s="17"/>
      <c r="N40" s="18"/>
      <c r="O40" s="2"/>
      <c r="P40" s="2"/>
      <c r="Q40" s="2"/>
      <c r="R40" s="2"/>
      <c r="S40" s="2"/>
      <c r="T40" s="2"/>
      <c r="U40" s="2"/>
      <c r="V40" s="2"/>
      <c r="W40" s="2"/>
      <c r="X40" s="15"/>
      <c r="Y40" s="15"/>
      <c r="Z40" s="15"/>
      <c r="AA40" s="15"/>
      <c r="AB40" s="18"/>
      <c r="AC40" s="2"/>
      <c r="AD40" s="2"/>
      <c r="AE40" s="18"/>
      <c r="AF40" s="18"/>
      <c r="AG40" s="18"/>
      <c r="AH40" s="18"/>
      <c r="AI40" s="18"/>
      <c r="AJ40" s="30"/>
    </row>
    <row r="41" spans="1:36" x14ac:dyDescent="0.25">
      <c r="A41" s="1">
        <v>2</v>
      </c>
      <c r="B41" s="53" t="s">
        <v>60</v>
      </c>
      <c r="C41" s="53"/>
      <c r="D41" s="53"/>
      <c r="E41" s="96">
        <f>AH10</f>
        <v>12</v>
      </c>
      <c r="F41" s="96"/>
      <c r="G41" s="96"/>
      <c r="H41" s="50" t="str">
        <f>IF(E41&lt;5,"，基本正常范围。",IF(E41&lt;15,"。",IF(E41&lt;30,"。","。")))</f>
        <v>。</v>
      </c>
      <c r="I41" s="50"/>
      <c r="J41" s="50"/>
      <c r="K41" s="50"/>
      <c r="L41" s="50"/>
      <c r="M41" s="50"/>
      <c r="N41" s="50"/>
      <c r="O41" s="50"/>
      <c r="P41" s="7"/>
      <c r="Q41" s="7"/>
      <c r="R41" s="18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2"/>
      <c r="AJ41" s="23"/>
    </row>
    <row r="42" spans="1:36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3"/>
    </row>
    <row r="43" spans="1:36" ht="15.6" x14ac:dyDescent="0.25">
      <c r="A43" s="1">
        <v>3</v>
      </c>
      <c r="B43" s="97" t="s">
        <v>61</v>
      </c>
      <c r="C43" s="97"/>
      <c r="D43" s="97" t="str">
        <f>IF(E41&lt;5,"无",IF(E41&lt;15,"轻度",IF(E41&lt;30,"中度","重度")))</f>
        <v>轻度</v>
      </c>
      <c r="E43" s="97"/>
      <c r="F43" s="97" t="s">
        <v>62</v>
      </c>
      <c r="G43" s="97"/>
      <c r="H43" s="97"/>
      <c r="I43" s="97"/>
      <c r="J43" s="97"/>
      <c r="K43" s="97"/>
      <c r="L43" s="97" t="s">
        <v>63</v>
      </c>
      <c r="M43" s="97"/>
      <c r="N43" s="97" t="str">
        <f>IF(J39&lt;80%,"重度",IF(J39&lt;85%,"中度",IF(J39&lt;90%,"轻度","无")))</f>
        <v>无</v>
      </c>
      <c r="O43" s="97"/>
      <c r="P43" s="98" t="s">
        <v>64</v>
      </c>
      <c r="Q43" s="98"/>
      <c r="R43" s="98"/>
      <c r="S43" s="98"/>
      <c r="T43" s="98"/>
      <c r="U43" s="19"/>
      <c r="V43" s="19"/>
      <c r="W43" s="19"/>
      <c r="X43" s="19"/>
      <c r="Y43" s="18"/>
      <c r="Z43" s="18"/>
      <c r="AA43" s="18"/>
      <c r="AB43" s="18"/>
      <c r="AC43" s="18"/>
      <c r="AD43" s="18"/>
      <c r="AE43" s="18"/>
      <c r="AF43" s="22"/>
      <c r="AG43" s="22"/>
      <c r="AH43" s="18"/>
      <c r="AJ43" s="31"/>
    </row>
    <row r="44" spans="1:36" x14ac:dyDescent="0.2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7"/>
      <c r="P44" s="7"/>
      <c r="Q44" s="7"/>
      <c r="R44" s="7"/>
      <c r="S44" s="7"/>
      <c r="T44" s="7"/>
      <c r="U44" s="7"/>
      <c r="V44" s="7"/>
      <c r="W44" s="7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3"/>
    </row>
    <row r="45" spans="1:36" x14ac:dyDescent="0.25">
      <c r="A45" s="122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123"/>
    </row>
    <row r="46" spans="1:36" x14ac:dyDescent="0.2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3"/>
    </row>
    <row r="47" spans="1:36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92" t="s">
        <v>67</v>
      </c>
      <c r="AH47" s="53"/>
      <c r="AI47" s="53"/>
      <c r="AJ47" s="124"/>
    </row>
    <row r="48" spans="1:36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3"/>
    </row>
    <row r="49" spans="1:37" x14ac:dyDescent="0.25">
      <c r="A49" s="16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25" t="e">
        <f>LEFT(AK49, FIND(" ",AK49) - 1)</f>
        <v>#VALUE!</v>
      </c>
      <c r="AG49" s="125"/>
      <c r="AH49" s="125"/>
      <c r="AI49" s="125"/>
      <c r="AJ49" s="126"/>
      <c r="AK49" s="131"/>
    </row>
  </sheetData>
  <mergeCells count="193">
    <mergeCell ref="A45:AJ45"/>
    <mergeCell ref="AG47:AJ47"/>
    <mergeCell ref="AF49:AJ49"/>
    <mergeCell ref="G6:I8"/>
    <mergeCell ref="A36:AJ37"/>
    <mergeCell ref="B41:D41"/>
    <mergeCell ref="E41:G41"/>
    <mergeCell ref="H41:O41"/>
    <mergeCell ref="B43:C43"/>
    <mergeCell ref="D43:E43"/>
    <mergeCell ref="F43:K43"/>
    <mergeCell ref="L43:M43"/>
    <mergeCell ref="N43:O43"/>
    <mergeCell ref="P43:T43"/>
    <mergeCell ref="A32:AJ32"/>
    <mergeCell ref="A33:F33"/>
    <mergeCell ref="G33:L33"/>
    <mergeCell ref="M33:R33"/>
    <mergeCell ref="S33:X33"/>
    <mergeCell ref="Y33:AD33"/>
    <mergeCell ref="AE33:AJ33"/>
    <mergeCell ref="B39:I39"/>
    <mergeCell ref="J39:K39"/>
    <mergeCell ref="M39:Y39"/>
    <mergeCell ref="A29:F29"/>
    <mergeCell ref="G29:K29"/>
    <mergeCell ref="L29:P29"/>
    <mergeCell ref="Q29:U29"/>
    <mergeCell ref="V29:Z29"/>
    <mergeCell ref="AA29:AE29"/>
    <mergeCell ref="AF29:AJ29"/>
    <mergeCell ref="A30:F30"/>
    <mergeCell ref="G30:K30"/>
    <mergeCell ref="L30:P30"/>
    <mergeCell ref="Q30:U30"/>
    <mergeCell ref="V30:Z30"/>
    <mergeCell ref="AA30:AE30"/>
    <mergeCell ref="AF30:AJ30"/>
    <mergeCell ref="A27:F27"/>
    <mergeCell ref="G27:K27"/>
    <mergeCell ref="L27:P27"/>
    <mergeCell ref="Q27:U27"/>
    <mergeCell ref="V27:Z27"/>
    <mergeCell ref="AA27:AE27"/>
    <mergeCell ref="AF27:AJ27"/>
    <mergeCell ref="A28:F28"/>
    <mergeCell ref="G28:K28"/>
    <mergeCell ref="L28:P28"/>
    <mergeCell ref="Q28:U28"/>
    <mergeCell ref="V28:Z28"/>
    <mergeCell ref="AA28:AE28"/>
    <mergeCell ref="AF28:AJ28"/>
    <mergeCell ref="AH24:AJ24"/>
    <mergeCell ref="A25:F25"/>
    <mergeCell ref="G25:K25"/>
    <mergeCell ref="L25:P25"/>
    <mergeCell ref="Q25:U25"/>
    <mergeCell ref="V25:Z25"/>
    <mergeCell ref="AA25:AE25"/>
    <mergeCell ref="AF25:AJ25"/>
    <mergeCell ref="A26:F26"/>
    <mergeCell ref="G26:K26"/>
    <mergeCell ref="L26:P26"/>
    <mergeCell ref="Q26:U26"/>
    <mergeCell ref="V26:Z26"/>
    <mergeCell ref="AA26:AE26"/>
    <mergeCell ref="AF26:AJ26"/>
    <mergeCell ref="A24:C24"/>
    <mergeCell ref="D24:E24"/>
    <mergeCell ref="G24:L24"/>
    <mergeCell ref="M24:N24"/>
    <mergeCell ref="P24:S24"/>
    <mergeCell ref="T24:U24"/>
    <mergeCell ref="W24:AA24"/>
    <mergeCell ref="AB24:AC24"/>
    <mergeCell ref="AE24:AG24"/>
    <mergeCell ref="B21:F21"/>
    <mergeCell ref="G21:J21"/>
    <mergeCell ref="K21:O21"/>
    <mergeCell ref="P21:R21"/>
    <mergeCell ref="S21:X21"/>
    <mergeCell ref="Y21:AA21"/>
    <mergeCell ref="AB21:AG21"/>
    <mergeCell ref="AH21:AJ21"/>
    <mergeCell ref="A23:AJ23"/>
    <mergeCell ref="AE19:AH19"/>
    <mergeCell ref="AI19:AJ19"/>
    <mergeCell ref="A20:F20"/>
    <mergeCell ref="G20:J20"/>
    <mergeCell ref="K20:L20"/>
    <mergeCell ref="M20:P20"/>
    <mergeCell ref="Q20:R20"/>
    <mergeCell ref="S20:V20"/>
    <mergeCell ref="W20:X20"/>
    <mergeCell ref="Y20:AB20"/>
    <mergeCell ref="AC20:AD20"/>
    <mergeCell ref="AE20:AH20"/>
    <mergeCell ref="AI20:AJ20"/>
    <mergeCell ref="A19:F19"/>
    <mergeCell ref="G19:J19"/>
    <mergeCell ref="K19:L19"/>
    <mergeCell ref="M19:P19"/>
    <mergeCell ref="Q19:R19"/>
    <mergeCell ref="S19:V19"/>
    <mergeCell ref="W19:X19"/>
    <mergeCell ref="Y19:AB19"/>
    <mergeCell ref="AC19:AD19"/>
    <mergeCell ref="AE17:AH17"/>
    <mergeCell ref="AI17:AJ17"/>
    <mergeCell ref="A18:F18"/>
    <mergeCell ref="G18:J18"/>
    <mergeCell ref="K18:L18"/>
    <mergeCell ref="M18:P18"/>
    <mergeCell ref="Q18:R18"/>
    <mergeCell ref="S18:V18"/>
    <mergeCell ref="W18:X18"/>
    <mergeCell ref="Y18:AB18"/>
    <mergeCell ref="AC18:AD18"/>
    <mergeCell ref="AE18:AH18"/>
    <mergeCell ref="AI18:AJ18"/>
    <mergeCell ref="A17:F17"/>
    <mergeCell ref="G17:J17"/>
    <mergeCell ref="K17:L17"/>
    <mergeCell ref="M17:P17"/>
    <mergeCell ref="Q17:R17"/>
    <mergeCell ref="S17:V17"/>
    <mergeCell ref="W17:X17"/>
    <mergeCell ref="Y17:AB17"/>
    <mergeCell ref="AC17:AD17"/>
    <mergeCell ref="A15:F15"/>
    <mergeCell ref="G15:L15"/>
    <mergeCell ref="M15:R15"/>
    <mergeCell ref="S15:X15"/>
    <mergeCell ref="Y15:AD15"/>
    <mergeCell ref="AE15:AJ15"/>
    <mergeCell ref="A16:F16"/>
    <mergeCell ref="G16:J16"/>
    <mergeCell ref="K16:L16"/>
    <mergeCell ref="M16:P16"/>
    <mergeCell ref="Q16:R16"/>
    <mergeCell ref="S16:V16"/>
    <mergeCell ref="W16:X16"/>
    <mergeCell ref="Y16:AB16"/>
    <mergeCell ref="AC16:AD16"/>
    <mergeCell ref="AE16:AH16"/>
    <mergeCell ref="AI16:AJ16"/>
    <mergeCell ref="D12:G12"/>
    <mergeCell ref="H12:I12"/>
    <mergeCell ref="J12:P12"/>
    <mergeCell ref="Q12:T12"/>
    <mergeCell ref="U12:Y12"/>
    <mergeCell ref="Z12:AB12"/>
    <mergeCell ref="D13:G13"/>
    <mergeCell ref="H13:I13"/>
    <mergeCell ref="J13:P13"/>
    <mergeCell ref="Q13:T13"/>
    <mergeCell ref="U13:Y13"/>
    <mergeCell ref="Z13:AB13"/>
    <mergeCell ref="D10:J10"/>
    <mergeCell ref="K10:N10"/>
    <mergeCell ref="O10:Q10"/>
    <mergeCell ref="R10:U10"/>
    <mergeCell ref="V10:AB10"/>
    <mergeCell ref="AE10:AG10"/>
    <mergeCell ref="AH10:AJ10"/>
    <mergeCell ref="D11:I11"/>
    <mergeCell ref="J11:M11"/>
    <mergeCell ref="N11:P11"/>
    <mergeCell ref="Q11:T11"/>
    <mergeCell ref="U11:AA11"/>
    <mergeCell ref="A7:C7"/>
    <mergeCell ref="D7:F7"/>
    <mergeCell ref="K7:N7"/>
    <mergeCell ref="O7:R7"/>
    <mergeCell ref="S7:V7"/>
    <mergeCell ref="W7:AA7"/>
    <mergeCell ref="AB7:AE7"/>
    <mergeCell ref="AF7:AJ7"/>
    <mergeCell ref="A9:AJ9"/>
    <mergeCell ref="A1:AJ1"/>
    <mergeCell ref="A3:AJ3"/>
    <mergeCell ref="A5:C5"/>
    <mergeCell ref="D5:G5"/>
    <mergeCell ref="H5:J5"/>
    <mergeCell ref="K5:M5"/>
    <mergeCell ref="N5:P5"/>
    <mergeCell ref="Q5:S5"/>
    <mergeCell ref="T5:V5"/>
    <mergeCell ref="W5:Y5"/>
    <mergeCell ref="Z5:AA5"/>
    <mergeCell ref="AC5:AE5"/>
    <mergeCell ref="AF5:AH5"/>
    <mergeCell ref="AI5:AJ5"/>
  </mergeCells>
  <phoneticPr fontId="14" type="noConversion"/>
  <dataValidations count="3">
    <dataValidation type="list" allowBlank="1" showInputMessage="1" showErrorMessage="1" sqref="K5:M5" xr:uid="{00000000-0002-0000-0100-000000000000}">
      <formula1>"男,女"</formula1>
    </dataValidation>
    <dataValidation type="list" allowBlank="1" showInputMessage="1" showErrorMessage="1" sqref="V43:X43" xr:uid="{00000000-0002-0000-0100-000001000000}">
      <formula1>"轻度。,中度。,重度。"</formula1>
    </dataValidation>
    <dataValidation type="list" allowBlank="1" showInputMessage="1" showErrorMessage="1" sqref="O41:W42" xr:uid="{00000000-0002-0000-0100-000002000000}">
      <formula1>"血氧波动正常范围。,为阻塞性低通气，,为阻塞性呼吸暂停，,为中枢性呼吸暂停，"</formula1>
    </dataValidation>
  </dataValidations>
  <pageMargins left="0.75" right="0.75" top="1" bottom="1" header="0.5" footer="0.5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102</vt:i4>
      </vt:variant>
    </vt:vector>
  </HeadingPairs>
  <TitlesOfParts>
    <vt:vector size="104" baseType="lpstr">
      <vt:lpstr>报告页</vt:lpstr>
      <vt:lpstr>附页</vt:lpstr>
      <vt:lpstr>Age</vt:lpstr>
      <vt:lpstr>ApneaAndHypopneaCount</vt:lpstr>
      <vt:lpstr>ApneaAndHypopneaIndex</vt:lpstr>
      <vt:lpstr>ApneaAndHypopneaTotalTimes</vt:lpstr>
      <vt:lpstr>ApneaIndex</vt:lpstr>
      <vt:lpstr>ApneaTotalCount</vt:lpstr>
      <vt:lpstr>ApneaTotalTimes</vt:lpstr>
      <vt:lpstr>ApneaTurbidIndex</vt:lpstr>
      <vt:lpstr>AveBloodOxygenTIB</vt:lpstr>
      <vt:lpstr>AveBloodOxygenWake</vt:lpstr>
      <vt:lpstr>AverageSleepHeartRate</vt:lpstr>
      <vt:lpstr>BMI</vt:lpstr>
      <vt:lpstr>CentralApneaTotalCount</vt:lpstr>
      <vt:lpstr>CentralApneaTotalTimes</vt:lpstr>
      <vt:lpstr>CurrentDateTime</vt:lpstr>
      <vt:lpstr>DoctorName</vt:lpstr>
      <vt:lpstr>Gender</vt:lpstr>
      <vt:lpstr>Height</vt:lpstr>
      <vt:lpstr>HypopneaIndex</vt:lpstr>
      <vt:lpstr>HypopneaTotalCount</vt:lpstr>
      <vt:lpstr>HypopneaTotalTimes</vt:lpstr>
      <vt:lpstr>LateralSleepAHTotalCount</vt:lpstr>
      <vt:lpstr>LateralSleepAHTotalTimes</vt:lpstr>
      <vt:lpstr>LateralSleepCA</vt:lpstr>
      <vt:lpstr>LateralSleepCATotalTimes</vt:lpstr>
      <vt:lpstr>LateralSleepHYP</vt:lpstr>
      <vt:lpstr>LateralSleepHYPTotalTimes</vt:lpstr>
      <vt:lpstr>LateralSleepMA</vt:lpstr>
      <vt:lpstr>LateralSleepMATotalTimes</vt:lpstr>
      <vt:lpstr>LateralSleepOA</vt:lpstr>
      <vt:lpstr>LateralSleepOATotalTimes</vt:lpstr>
      <vt:lpstr>LateralSleepSpo2Than100TotalTimes</vt:lpstr>
      <vt:lpstr>LateralSleepSpo2Than40TotalTimes</vt:lpstr>
      <vt:lpstr>LateralSleepSpo2Than50TotalTimes</vt:lpstr>
      <vt:lpstr>LateralSleepSpo2Than60TotalTimes</vt:lpstr>
      <vt:lpstr>LateralSleepSpo2Than70TotalTimes</vt:lpstr>
      <vt:lpstr>LateralSleepSpo2Than80TotalTimes</vt:lpstr>
      <vt:lpstr>LateralSleepSpo2Than90TotalTimes</vt:lpstr>
      <vt:lpstr>MaxApneaDuration</vt:lpstr>
      <vt:lpstr>MaxBloodOxygenTIB</vt:lpstr>
      <vt:lpstr>MaxHypopneaDuration</vt:lpstr>
      <vt:lpstr>MaxSleepHeartRate</vt:lpstr>
      <vt:lpstr>MinAllApneaBloodOxygen</vt:lpstr>
      <vt:lpstr>MinBloodOxygenTIB</vt:lpstr>
      <vt:lpstr>MinBloodOxygenTST</vt:lpstr>
      <vt:lpstr>MinHypopneaBloodOxygen</vt:lpstr>
      <vt:lpstr>MinSleepHeartRate</vt:lpstr>
      <vt:lpstr>MixedApneaTotalCount</vt:lpstr>
      <vt:lpstr>MixedApneaTotalTimes</vt:lpstr>
      <vt:lpstr>ObstructiveApneaTotalCount</vt:lpstr>
      <vt:lpstr>ObstructiveApneaTotalTimes</vt:lpstr>
      <vt:lpstr>OxygenReduceIndex</vt:lpstr>
      <vt:lpstr>PatientName</vt:lpstr>
      <vt:lpstr>PatientNo</vt:lpstr>
      <vt:lpstr>ProstrateSleepAHTotalCount</vt:lpstr>
      <vt:lpstr>ProstrateSleepAHTotalTimes</vt:lpstr>
      <vt:lpstr>ProstrateSleepCA</vt:lpstr>
      <vt:lpstr>ProstrateSleepCATotalTimes</vt:lpstr>
      <vt:lpstr>ProstrateSleepHYP</vt:lpstr>
      <vt:lpstr>ProstrateSleepHYPTotalTimes</vt:lpstr>
      <vt:lpstr>ProstrateSleepMA</vt:lpstr>
      <vt:lpstr>ProstrateSleepMATotalTimes</vt:lpstr>
      <vt:lpstr>ProstrateSleepOA</vt:lpstr>
      <vt:lpstr>ProstrateSleepOATotalTimes</vt:lpstr>
      <vt:lpstr>ProstrateSleepSpo2Than100TotalTimes</vt:lpstr>
      <vt:lpstr>ProstrateSleepSpo2Than40TotalTimes</vt:lpstr>
      <vt:lpstr>ProstrateSleepSpo2Than50TotalTimes</vt:lpstr>
      <vt:lpstr>ProstrateSleepSpo2Than60TotalTimes</vt:lpstr>
      <vt:lpstr>ProstrateSleepSpo2Than70TotalTimes</vt:lpstr>
      <vt:lpstr>ProstrateSleepSpo2Than80TotalTimes</vt:lpstr>
      <vt:lpstr>ProstrateSleepSpo2Than90TotalTimes</vt:lpstr>
      <vt:lpstr>RecordTime</vt:lpstr>
      <vt:lpstr>SitSleepAHTotalCount</vt:lpstr>
      <vt:lpstr>SitSleepAHTotalTimes</vt:lpstr>
      <vt:lpstr>SitSleepCA</vt:lpstr>
      <vt:lpstr>SitSleepCATotalTimes</vt:lpstr>
      <vt:lpstr>SitSleepHYP</vt:lpstr>
      <vt:lpstr>SitSleepHYPTotalTimes</vt:lpstr>
      <vt:lpstr>SitSleepMA</vt:lpstr>
      <vt:lpstr>SitSleepMATotalTimes</vt:lpstr>
      <vt:lpstr>SitSleepOA</vt:lpstr>
      <vt:lpstr>SitSleepOATotalCount</vt:lpstr>
      <vt:lpstr>SitSleepOATotalTimes</vt:lpstr>
      <vt:lpstr>SitSleepSpo2Than100TotalTimes</vt:lpstr>
      <vt:lpstr>SitSleepSpo2Than40TotalTimes</vt:lpstr>
      <vt:lpstr>SitSleepSpo2Than50TotalTimes</vt:lpstr>
      <vt:lpstr>SitSleepSpo2Than60TotalTimes</vt:lpstr>
      <vt:lpstr>SitSleepSpo2Than70TotalTimes</vt:lpstr>
      <vt:lpstr>SitSleepSpo2Than80TotalTimes</vt:lpstr>
      <vt:lpstr>SitSleepSpo2Than90TotalTimes</vt:lpstr>
      <vt:lpstr>SnoreIndex</vt:lpstr>
      <vt:lpstr>strMaxApneaDruationHappendTime</vt:lpstr>
      <vt:lpstr>strMaxHYPDruationHappendTime</vt:lpstr>
      <vt:lpstr>TotalBloodOxygenLowThan40Times</vt:lpstr>
      <vt:lpstr>TotalBloodOxygenLowThan50Times</vt:lpstr>
      <vt:lpstr>TotalBloodOxygenLowThan60Times</vt:lpstr>
      <vt:lpstr>TotalBloodOxygenLowThan70Times</vt:lpstr>
      <vt:lpstr>TotalBloodOxygenLowThan80Times</vt:lpstr>
      <vt:lpstr>TotalBloodOxygenLowThan90Times</vt:lpstr>
      <vt:lpstr>TotalBloodOxygenLowThan98Times</vt:lpstr>
      <vt:lpstr>TotalSleepTime</vt:lpstr>
      <vt:lpstr>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simpleAj</cp:lastModifiedBy>
  <cp:lastPrinted>2018-08-06T13:24:00Z</cp:lastPrinted>
  <dcterms:created xsi:type="dcterms:W3CDTF">2006-09-13T11:21:00Z</dcterms:created>
  <dcterms:modified xsi:type="dcterms:W3CDTF">2021-12-23T05:36:45Z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2052-11.1.0.9991</vt:lpwstr>
  </property>
</Properties>
</file>